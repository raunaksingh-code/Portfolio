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inancials" sheetId="2" state="visible" r:id="rId4"/>
    <sheet name="DCF Valuation" sheetId="3" state="visible" r:id="rId5"/>
    <sheet name="Relative Val." sheetId="4" state="visible" r:id="rId6"/>
    <sheet name="DDM Valuation" sheetId="5" state="visible" r:id="rId7"/>
    <sheet name="Sensitivity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<sst xmlns="http://schemas.openxmlformats.org/spreadsheetml/2006/main" count="342" uniqueCount="292">
  <si>
    <t xml:space="preserve">BRITANNIA INDUSTRIES LIMITED</t>
  </si>
  <si>
    <t xml:space="preserve">Equity Valuation Report</t>
  </si>
  <si>
    <t xml:space="preserve">NSE: BRITANNIA | BSE: 500825 | Sector: FMCG – Packaged Foods</t>
  </si>
  <si>
    <t xml:space="preserve">Report Date</t>
  </si>
  <si>
    <t xml:space="preserve">05-Mar-2026</t>
  </si>
  <si>
    <t xml:space="preserve">Current Market Price (₹)</t>
  </si>
  <si>
    <t xml:space="preserve">5,961</t>
  </si>
  <si>
    <t xml:space="preserve">Market Cap (₹ Cr)</t>
  </si>
  <si>
    <t xml:space="preserve">1,43,582</t>
  </si>
  <si>
    <t xml:space="preserve">52W High / Low (₹)</t>
  </si>
  <si>
    <t xml:space="preserve">6,337 / 4,506</t>
  </si>
  <si>
    <t xml:space="preserve">Shares Outstanding (Mn)</t>
  </si>
  <si>
    <t xml:space="preserve">240.87</t>
  </si>
  <si>
    <t xml:space="preserve">Dividend Yield (%)</t>
  </si>
  <si>
    <t xml:space="preserve">1.26%</t>
  </si>
  <si>
    <t xml:space="preserve">Face Value (₹)</t>
  </si>
  <si>
    <t xml:space="preserve">1.00</t>
  </si>
  <si>
    <t xml:space="preserve">Promoter Holding</t>
  </si>
  <si>
    <t xml:space="preserve">50.6%</t>
  </si>
  <si>
    <t xml:space="preserve">Sheet</t>
  </si>
  <si>
    <t xml:space="preserve">Description</t>
  </si>
  <si>
    <t xml:space="preserve">Cover</t>
  </si>
  <si>
    <t xml:space="preserve">Company overview &amp; key stats</t>
  </si>
  <si>
    <t xml:space="preserve">Financials</t>
  </si>
  <si>
    <t xml:space="preserve">Historical P&amp;L, Balance Sheet &amp; Cash Flow (FY21-FY25)</t>
  </si>
  <si>
    <t xml:space="preserve">DCF Valuation</t>
  </si>
  <si>
    <t xml:space="preserve">Discounted Cash Flow (10-yr FCF projection)</t>
  </si>
  <si>
    <t xml:space="preserve">Relative Val.</t>
  </si>
  <si>
    <t xml:space="preserve">P/E, EV/EBITDA &amp; Price/Book multiple analysis</t>
  </si>
  <si>
    <t xml:space="preserve">DDM Valuation</t>
  </si>
  <si>
    <t xml:space="preserve">Dividend Discount Model</t>
  </si>
  <si>
    <t xml:space="preserve">Sensitivity</t>
  </si>
  <si>
    <t xml:space="preserve">WACC × Terminal Growth sensitivity tables</t>
  </si>
  <si>
    <t xml:space="preserve">Summary</t>
  </si>
  <si>
    <t xml:space="preserve">Valuation football field &amp; final verdict</t>
  </si>
  <si>
    <t xml:space="preserve">DISCLAIMER: This model is for educational purposes only and does not constitute investment advice. All figures sourced from public filings. Projections involve assumptions and inherent uncertainty.</t>
  </si>
  <si>
    <t xml:space="preserve">BRITANNIA INDUSTRIES – HISTORICAL FINANCIALS (₹ Crores)</t>
  </si>
  <si>
    <t xml:space="preserve">FY2021</t>
  </si>
  <si>
    <t xml:space="preserve">FY2022</t>
  </si>
  <si>
    <t xml:space="preserve">FY2023</t>
  </si>
  <si>
    <t xml:space="preserve">FY2024</t>
  </si>
  <si>
    <t xml:space="preserve">FY2025E</t>
  </si>
  <si>
    <t xml:space="preserve">INCOME STATEMENT</t>
  </si>
  <si>
    <t xml:space="preserve">Revenue from Operations</t>
  </si>
  <si>
    <t xml:space="preserve">  YoY Growth (%)</t>
  </si>
  <si>
    <t xml:space="preserve">Cost of Goods Sold</t>
  </si>
  <si>
    <t xml:space="preserve">Gross Profit</t>
  </si>
  <si>
    <t xml:space="preserve">Gross Margin (%)</t>
  </si>
  <si>
    <t xml:space="preserve">Employee Costs</t>
  </si>
  <si>
    <t xml:space="preserve">Other Operating Expenses</t>
  </si>
  <si>
    <t xml:space="preserve">EBITDA</t>
  </si>
  <si>
    <t xml:space="preserve">EBITDA Margin (%)</t>
  </si>
  <si>
    <t xml:space="preserve">Depreciation &amp; Amortization</t>
  </si>
  <si>
    <t xml:space="preserve">EBIT</t>
  </si>
  <si>
    <t xml:space="preserve">Finance Costs</t>
  </si>
  <si>
    <t xml:space="preserve">Other Income</t>
  </si>
  <si>
    <t xml:space="preserve">PBT</t>
  </si>
  <si>
    <t xml:space="preserve">Tax Expense</t>
  </si>
  <si>
    <t xml:space="preserve">PAT (Net Profit)</t>
  </si>
  <si>
    <t xml:space="preserve">PAT Margin (%)</t>
  </si>
  <si>
    <t xml:space="preserve">EPS (₹)</t>
  </si>
  <si>
    <t xml:space="preserve">BALANCE SHEET</t>
  </si>
  <si>
    <t xml:space="preserve">Share Capital</t>
  </si>
  <si>
    <t xml:space="preserve">Reserves &amp; Surplus</t>
  </si>
  <si>
    <t xml:space="preserve">Total Equity</t>
  </si>
  <si>
    <t xml:space="preserve">Long-term Borrowings</t>
  </si>
  <si>
    <t xml:space="preserve">Short-term Borrowings</t>
  </si>
  <si>
    <t xml:space="preserve">Total Debt</t>
  </si>
  <si>
    <t xml:space="preserve">Trade Payables</t>
  </si>
  <si>
    <t xml:space="preserve">Other Current Liabilities</t>
  </si>
  <si>
    <t xml:space="preserve">Total Liabilities</t>
  </si>
  <si>
    <t xml:space="preserve">Fixed Assets (Net)</t>
  </si>
  <si>
    <t xml:space="preserve">Investments</t>
  </si>
  <si>
    <t xml:space="preserve">Inventories</t>
  </si>
  <si>
    <t xml:space="preserve">Trade Receivables</t>
  </si>
  <si>
    <t xml:space="preserve">Cash &amp; Cash Equivalents</t>
  </si>
  <si>
    <t xml:space="preserve">Other Assets</t>
  </si>
  <si>
    <t xml:space="preserve">Total Assets</t>
  </si>
  <si>
    <t xml:space="preserve">CASH FLOW STATEMENT</t>
  </si>
  <si>
    <t xml:space="preserve">Operating Cash Flow (CFO)</t>
  </si>
  <si>
    <t xml:space="preserve">Capital Expenditure (CapEx)</t>
  </si>
  <si>
    <t xml:space="preserve">Free Cash Flow (FCF)</t>
  </si>
  <si>
    <t xml:space="preserve">Investing Activities</t>
  </si>
  <si>
    <t xml:space="preserve">Financing Activities</t>
  </si>
  <si>
    <t xml:space="preserve">Net Change in Cash</t>
  </si>
  <si>
    <t xml:space="preserve">KEY FINANCIAL RATIOS</t>
  </si>
  <si>
    <t xml:space="preserve">ROCE (%)</t>
  </si>
  <si>
    <t xml:space="preserve">53.5%</t>
  </si>
  <si>
    <t xml:space="preserve">52.0%</t>
  </si>
  <si>
    <t xml:space="preserve">54.1%</t>
  </si>
  <si>
    <t xml:space="preserve">53.0%</t>
  </si>
  <si>
    <t xml:space="preserve">55.0%</t>
  </si>
  <si>
    <t xml:space="preserve">ROE (%)</t>
  </si>
  <si>
    <t xml:space="preserve">50.8%</t>
  </si>
  <si>
    <t xml:space="preserve">54.5%</t>
  </si>
  <si>
    <t xml:space="preserve">52.9%</t>
  </si>
  <si>
    <t xml:space="preserve">55.1%</t>
  </si>
  <si>
    <t xml:space="preserve">Debt/Equity (x)</t>
  </si>
  <si>
    <t xml:space="preserve">0.44x</t>
  </si>
  <si>
    <t xml:space="preserve">0.29x</t>
  </si>
  <si>
    <t xml:space="preserve">0.22x</t>
  </si>
  <si>
    <t xml:space="preserve">0.20x</t>
  </si>
  <si>
    <t xml:space="preserve">0.15x</t>
  </si>
  <si>
    <t xml:space="preserve">Current Ratio (x)</t>
  </si>
  <si>
    <t xml:space="preserve">1.12x</t>
  </si>
  <si>
    <t xml:space="preserve">1.18x</t>
  </si>
  <si>
    <t xml:space="preserve">1.22x</t>
  </si>
  <si>
    <t xml:space="preserve">1.25x</t>
  </si>
  <si>
    <t xml:space="preserve">1.30x</t>
  </si>
  <si>
    <t xml:space="preserve">Asset Turnover (x)</t>
  </si>
  <si>
    <t xml:space="preserve">1.90x</t>
  </si>
  <si>
    <t xml:space="preserve">1.82x</t>
  </si>
  <si>
    <t xml:space="preserve">1.98x</t>
  </si>
  <si>
    <t xml:space="preserve">2.12x</t>
  </si>
  <si>
    <t xml:space="preserve">2.27x</t>
  </si>
  <si>
    <t xml:space="preserve">Dividend Payout (%)</t>
  </si>
  <si>
    <t xml:space="preserve">75%</t>
  </si>
  <si>
    <t xml:space="preserve">78%</t>
  </si>
  <si>
    <t xml:space="preserve">80%</t>
  </si>
  <si>
    <t xml:space="preserve">83%</t>
  </si>
  <si>
    <t xml:space="preserve">84%</t>
  </si>
  <si>
    <t xml:space="preserve">Source: Britannia Industries Annual Reports, NSE/BSE filings, Screener.in, StockAnalysis.com (FY2025E = Management/Analyst estimates)</t>
  </si>
  <si>
    <t xml:space="preserve">DISCOUNTED CASH FLOW (DCF) VALUATION – BRITANNIA INDUSTRIES</t>
  </si>
  <si>
    <t xml:space="preserve">WACC ASSUMPTIONS</t>
  </si>
  <si>
    <t xml:space="preserve">Risk-Free Rate (10-yr G-Sec)</t>
  </si>
  <si>
    <t xml:space="preserve">Equity Risk Premium</t>
  </si>
  <si>
    <t xml:space="preserve">Beta</t>
  </si>
  <si>
    <t xml:space="preserve">Cost of Equity [Ke = Rf + β×ERP]</t>
  </si>
  <si>
    <t xml:space="preserve">Cost of Debt (Pre-tax)</t>
  </si>
  <si>
    <t xml:space="preserve">Tax Rate</t>
  </si>
  <si>
    <t xml:space="preserve">Cost of Debt (Post-tax)</t>
  </si>
  <si>
    <t xml:space="preserve">Debt Weight (D/V)</t>
  </si>
  <si>
    <t xml:space="preserve">Equity Weight (E/V)</t>
  </si>
  <si>
    <t xml:space="preserve">WACC [Ke×We + Kd×Wd]</t>
  </si>
  <si>
    <t xml:space="preserve">FREE CASH FLOW PROJECTIONS (₹ Crores)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</si>
  <si>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</si>
  <si>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</si>
  <si>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</si>
  <si>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</si>
  <si>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</si>
  <si>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</si>
  <si>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</si>
  <si>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</si>
  <si>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</si>
  <si>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</si>
  <si>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Revenue Growth (%)</t>
  </si>
  <si>
    <t xml:space="preserve">10%</t>
  </si>
  <si>
    <t xml:space="preserve">9%</t>
  </si>
  <si>
    <t xml:space="preserve">8%</t>
  </si>
  <si>
    <t xml:space="preserve">7%</t>
  </si>
  <si>
    <t xml:space="preserve">6%</t>
  </si>
  <si>
    <t xml:space="preserve">Revenue (₹ Cr)</t>
  </si>
  <si>
    <t xml:space="preserve">19.5%</t>
  </si>
  <si>
    <t xml:space="preserve">19.8%</t>
  </si>
  <si>
    <t xml:space="preserve">20.0%</t>
  </si>
  <si>
    <t xml:space="preserve">20.2%</t>
  </si>
  <si>
    <t xml:space="preserve">20.4%</t>
  </si>
  <si>
    <t xml:space="preserve">20.5%</t>
  </si>
  <si>
    <t xml:space="preserve">Less: D&amp;A</t>
  </si>
  <si>
    <t xml:space="preserve">Less: Tax @ 25.3%</t>
  </si>
  <si>
    <t xml:space="preserve">NOPAT</t>
  </si>
  <si>
    <t xml:space="preserve">Add: D&amp;A</t>
  </si>
  <si>
    <t xml:space="preserve">Less: CapEx</t>
  </si>
  <si>
    <t xml:space="preserve">Less: ΔWorking Capital</t>
  </si>
  <si>
    <t xml:space="preserve">Free Cash Flow (FCFF)</t>
  </si>
  <si>
    <t xml:space="preserve">Discount Factor</t>
  </si>
  <si>
    <t xml:space="preserve">PV of FCF</t>
  </si>
  <si>
    <t xml:space="preserve">TERMINAL VALUE &amp; INTRINSIC VALUE</t>
  </si>
  <si>
    <t xml:space="preserve">Terminal Growth Rate (g)</t>
  </si>
  <si>
    <t xml:space="preserve">6.0%</t>
  </si>
  <si>
    <t xml:space="preserve">Terminal Year FCF (₹ Cr)</t>
  </si>
  <si>
    <t xml:space="preserve">Terminal Value [TV = FCFn×(1+g)/(WACC-g)]</t>
  </si>
  <si>
    <t xml:space="preserve">PV of Terminal Value</t>
  </si>
  <si>
    <t xml:space="preserve">Sum of PV of FCFs</t>
  </si>
  <si>
    <t xml:space="preserve">Enterprise Value (EV)</t>
  </si>
  <si>
    <t xml:space="preserve">Less: Net Debt (₹ Cr)</t>
  </si>
  <si>
    <t xml:space="preserve">750</t>
  </si>
  <si>
    <t xml:space="preserve">Equity Value (₹ Cr)</t>
  </si>
  <si>
    <t xml:space="preserve">Shares Outstanding (Cr)</t>
  </si>
  <si>
    <t xml:space="preserve">24.087</t>
  </si>
  <si>
    <t xml:space="preserve">Intrinsic Value per Share (₹)</t>
  </si>
  <si>
    <t xml:space="preserve">5961</t>
  </si>
  <si>
    <t xml:space="preserve">Upside / (Downside) %</t>
  </si>
  <si>
    <t xml:space="preserve">RELATIVE VALUATION – PEER COMPARISON</t>
  </si>
  <si>
    <t xml:space="preserve">METHOD 1: P/E MULTIPLE VALUATION</t>
  </si>
  <si>
    <t xml:space="preserve">Company</t>
  </si>
  <si>
    <t xml:space="preserve">CMP (₹)</t>
  </si>
  <si>
    <t xml:space="preserve">TTM EPS (₹)</t>
  </si>
  <si>
    <t xml:space="preserve">TTM P/E (x)</t>
  </si>
  <si>
    <t xml:space="preserve">Fwd EPS (₹)</t>
  </si>
  <si>
    <t xml:space="preserve">Fwd P/E (x)</t>
  </si>
  <si>
    <t xml:space="preserve">Mkt Cap (Cr)</t>
  </si>
  <si>
    <t xml:space="preserve">Britannia Industries</t>
  </si>
  <si>
    <t xml:space="preserve">Nestlé India</t>
  </si>
  <si>
    <t xml:space="preserve">ITC Limited</t>
  </si>
  <si>
    <t xml:space="preserve">Hindustan Unilever</t>
  </si>
  <si>
    <t xml:space="preserve">Tata Consumer Products</t>
  </si>
  <si>
    <t xml:space="preserve">Varun Beverages</t>
  </si>
  <si>
    <t xml:space="preserve">Sector Avg P/E (ex-Britannia)</t>
  </si>
  <si>
    <t xml:space="preserve">Britannia Fair Value (Sector Avg P/E × FwdEPS)</t>
  </si>
  <si>
    <t xml:space="preserve">METHOD 2: EV/EBITDA MULTIPLE VALUATION</t>
  </si>
  <si>
    <t xml:space="preserve">EV (₹ Cr)</t>
  </si>
  <si>
    <t xml:space="preserve">EBITDA (₹ Cr)</t>
  </si>
  <si>
    <t xml:space="preserve">EV/EBITDA (x)</t>
  </si>
  <si>
    <t xml:space="preserve">Implied Value @ Sector Avg</t>
  </si>
  <si>
    <t xml:space="preserve">Sector Avg EV/EBITDA (ex-Britannia)</t>
  </si>
  <si>
    <t xml:space="preserve">Implied Eq. Value/Share (Sector EV/EBITDA × EBITDA - Debt) / Shares</t>
  </si>
  <si>
    <t xml:space="preserve">DIVIDEND DISCOUNT MODEL (DDM) – BRITANNIA INDUSTRIES</t>
  </si>
  <si>
    <t xml:space="preserve">DDM ASSUMPTIONS</t>
  </si>
  <si>
    <t xml:space="preserve">Required Rate of Return (Ke)</t>
  </si>
  <si>
    <t xml:space="preserve">10.02%</t>
  </si>
  <si>
    <t xml:space="preserve">Dividend Growth Stage 1 (Yr 1-5)</t>
  </si>
  <si>
    <t xml:space="preserve">12.0%</t>
  </si>
  <si>
    <t xml:space="preserve">Dividend Growth Stage 2 (Yr 6-10)</t>
  </si>
  <si>
    <t xml:space="preserve">8.0%</t>
  </si>
  <si>
    <t xml:space="preserve">Terminal Dividend Growth Rate</t>
  </si>
  <si>
    <t xml:space="preserve">Latest DPS (₹) – FY2025E</t>
  </si>
  <si>
    <t xml:space="preserve">75.00</t>
  </si>
  <si>
    <t xml:space="preserve">PROJECTED DIVIDENDS &amp; PRESENT VALUES</t>
  </si>
  <si>
    <t xml:space="preserve">Year</t>
  </si>
  <si>
    <t xml:space="preserve">Period</t>
  </si>
  <si>
    <t xml:space="preserve">DPS (₹)</t>
  </si>
  <si>
    <t xml:space="preserve">Growth Rate</t>
  </si>
  <si>
    <t xml:space="preserve">PV of DPS (₹)</t>
  </si>
  <si>
    <t xml:space="preserve">Sum of PV (Stage 1 + 2)</t>
  </si>
  <si>
    <t xml:space="preserve">Terminal DPS (Year 11)</t>
  </si>
  <si>
    <t xml:space="preserve">Terminal Value [TV = DPS₁₁/(Ke-g)]</t>
  </si>
  <si>
    <t xml:space="preserve">DDM Intrinsic Value per Share (₹)</t>
  </si>
  <si>
    <t xml:space="preserve">SENSITIVITY ANALYSIS – DCF INTRINSIC VALUE (₹/SHARE)</t>
  </si>
  <si>
    <t xml:space="preserve">TABLE 1: WACC × Terminal Growth Rate</t>
  </si>
  <si>
    <t xml:space="preserve">WACC →
g ↓</t>
  </si>
  <si>
    <t xml:space="preserve">8.5%</t>
  </si>
  <si>
    <t xml:space="preserve">9.0%</t>
  </si>
  <si>
    <t xml:space="preserve">9.5%</t>
  </si>
  <si>
    <t xml:space="preserve">10.0%</t>
  </si>
  <si>
    <t xml:space="preserve">10.5%</t>
  </si>
  <si>
    <t xml:space="preserve">11.0%</t>
  </si>
  <si>
    <t xml:space="preserve">11.5%</t>
  </si>
  <si>
    <t xml:space="preserve">4.0%</t>
  </si>
  <si>
    <t xml:space="preserve">5.0%</t>
  </si>
  <si>
    <t xml:space="preserve">5.5%</t>
  </si>
  <si>
    <t xml:space="preserve">6.5%</t>
  </si>
  <si>
    <t xml:space="preserve">7.0%</t>
  </si>
  <si>
    <t xml:space="preserve">7.5%</t>
  </si>
  <si>
    <t xml:space="preserve">LEGEND</t>
  </si>
  <si>
    <t xml:space="preserve">Undervalued: &gt;20% upside to CMP (₹5,961)</t>
  </si>
  <si>
    <t xml:space="preserve">Fairly Valued: ±10% of CMP</t>
  </si>
  <si>
    <t xml:space="preserve">Moderately Overvalued: 10-20% downside</t>
  </si>
  <si>
    <t xml:space="preserve">Overvalued: &gt;20% downside to CMP</t>
  </si>
  <si>
    <t xml:space="preserve">TABLE 2: WACC × Revenue Growth Rate (Stage 1)</t>
  </si>
  <si>
    <t xml:space="preserve">WACC →
Rev g ↓</t>
  </si>
  <si>
    <t xml:space="preserve">11%</t>
  </si>
  <si>
    <t xml:space="preserve">12%</t>
  </si>
  <si>
    <t xml:space="preserve">13%</t>
  </si>
  <si>
    <t xml:space="preserve">VALUATION SUMMARY – FOOTBALL FIELD ANALYSIS</t>
  </si>
  <si>
    <t xml:space="preserve">VALUATION RANGE BY METHOD (₹ PER SHARE)</t>
  </si>
  <si>
    <t xml:space="preserve">Valuation Method</t>
  </si>
  <si>
    <t xml:space="preserve">Bear Case (₹)</t>
  </si>
  <si>
    <t xml:space="preserve">Base Case (₹)</t>
  </si>
  <si>
    <t xml:space="preserve">Bull Case (₹)</t>
  </si>
  <si>
    <t xml:space="preserve">Weight (%)</t>
  </si>
  <si>
    <t xml:space="preserve">40%</t>
  </si>
  <si>
    <t xml:space="preserve">P/E Multiple (Sector Avg)</t>
  </si>
  <si>
    <t xml:space="preserve">30%</t>
  </si>
  <si>
    <t xml:space="preserve">EV/EBITDA Multiple</t>
  </si>
  <si>
    <t xml:space="preserve">20%</t>
  </si>
  <si>
    <t xml:space="preserve">Weighted Average Fair Value</t>
  </si>
  <si>
    <t xml:space="preserve">100%</t>
  </si>
  <si>
    <t xml:space="preserve">Base Case Upside / (Downside)</t>
  </si>
  <si>
    <t xml:space="preserve">▼  INVESTMENT VERDICT  ▼</t>
  </si>
  <si>
    <t xml:space="preserve">VERDICT:</t>
  </si>
  <si>
    <t xml:space="preserve">MODERATELY OVERVALUED</t>
  </si>
  <si>
    <t xml:space="preserve">CMP vs Base Fair Value:</t>
  </si>
  <si>
    <t xml:space="preserve">₹5,961 vs ₹5,368 — trading ~11% above base case</t>
  </si>
  <si>
    <t xml:space="preserve">DCF Intrinsic Value:</t>
  </si>
  <si>
    <t xml:space="preserve">₹5,100–5,980 (base case ₹5,540 at WACC 10%, g 6%)</t>
  </si>
  <si>
    <t xml:space="preserve">P/E Basis:</t>
  </si>
  <si>
    <t xml:space="preserve">P/E of 55-64x vs sector avg of ~45x – premium priced</t>
  </si>
  <si>
    <t xml:space="preserve">EV/EBITDA Basis:</t>
  </si>
  <si>
    <t xml:space="preserve">31x EV/EBITDA vs peers at ~25x – richly valued</t>
  </si>
  <si>
    <t xml:space="preserve">DDM Basis:</t>
  </si>
  <si>
    <t xml:space="preserve">₹5,200 base – dividend yield 1.26% below historical avg</t>
  </si>
  <si>
    <t xml:space="preserve">Recommendation:</t>
  </si>
  <si>
    <t xml:space="preserve">HOLD / ACCUMULATE on dips toward ₹5,000–5,200 range</t>
  </si>
  <si>
    <t xml:space="preserve">KEY RISKS TO VALUATION</t>
  </si>
  <si>
    <t xml:space="preserve">Downside Risks</t>
  </si>
  <si>
    <t xml:space="preserve">Commodity inflation (wheat, palm oil), rural demand slowdown, intensifying competition</t>
  </si>
  <si>
    <t xml:space="preserve">Upside Risks</t>
  </si>
  <si>
    <t xml:space="preserve">Volume growth acceleration, margin expansion, new category entry, rural penetration</t>
  </si>
  <si>
    <t xml:space="preserve">ESG / Other</t>
  </si>
  <si>
    <t xml:space="preserve">Premium brand moat, strong promoter backing (Wadia Group), proven dividend track record</t>
  </si>
  <si>
    <t xml:space="preserve">Sources: Britannia Annual Reports FY21-FY25, NSE/BSE filings, Screener.in, StockAnalysis.com, Investing.com, Tracxn. Date: 05-Mar-2026. For academic/research use only.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</si>
</sst>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#,##0.00"/>
    <numFmt numFmtId="168" formatCode="0.00%"/>
    <numFmt numFmtId="169" formatCode="0.00"/>
    <numFmt numFmtId="170" formatCode="0.0000"/>
    <numFmt numFmtId="171" formatCode="#,##0"/>
    <numFmt numFmtId="172" formatCode="0.0\x"/>
    <numFmt numFmtId="173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4"/>
      <color rgb="FFC9A84C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C9A84C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4"/>
      <color rgb="FFCC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C9A84C"/>
        <bgColor rgb="FFAAAAA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404040"/>
        <bgColor rgb="FF1F3864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2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C9A84C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10" min="2" style="1" width="14"/>
  </cols>
  <sheetData>
    <row r="1" customFormat="false" ht="21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</row>
    <row r="3" customFormat="false" ht="21.7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</row>
    <row r="4" customFormat="false" ht="21.75" hidden="false" customHeight="true" outlineLevel="0" collapsed="false">
      <c r="A4" s="2"/>
      <c r="B4" s="4" t="s">
        <v>1</v>
      </c>
      <c r="C4" s="4"/>
      <c r="D4" s="4"/>
      <c r="E4" s="4"/>
      <c r="F4" s="4"/>
      <c r="G4" s="4"/>
      <c r="H4" s="4"/>
      <c r="I4" s="4"/>
      <c r="J4" s="4"/>
    </row>
    <row r="5" customFormat="false" ht="21.75" hidden="false" customHeight="true" outlineLevel="0" collapsed="false">
      <c r="A5" s="2"/>
      <c r="B5" s="4"/>
      <c r="C5" s="4"/>
      <c r="D5" s="4"/>
      <c r="E5" s="4"/>
      <c r="F5" s="4"/>
      <c r="G5" s="4"/>
      <c r="H5" s="4"/>
      <c r="I5" s="4"/>
      <c r="J5" s="4"/>
    </row>
    <row r="6" customFormat="false" ht="21.75" hidden="false" customHeight="true" outlineLevel="0" collapsed="false">
      <c r="A6" s="2"/>
      <c r="B6" s="5" t="s">
        <v>2</v>
      </c>
      <c r="C6" s="5"/>
      <c r="D6" s="5"/>
      <c r="E6" s="5"/>
      <c r="F6" s="5"/>
      <c r="G6" s="5"/>
      <c r="H6" s="5"/>
      <c r="I6" s="5"/>
      <c r="J6" s="5"/>
    </row>
    <row r="7" customFormat="false" ht="21.7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10" customFormat="false" ht="19.5" hidden="false" customHeight="true" outlineLevel="0" collapsed="false">
      <c r="B10" s="6" t="s">
        <v>3</v>
      </c>
      <c r="C10" s="6"/>
      <c r="D10" s="6"/>
      <c r="E10" s="7" t="s">
        <v>4</v>
      </c>
      <c r="F10" s="7"/>
      <c r="G10" s="7"/>
    </row>
    <row r="11" customFormat="false" ht="19.5" hidden="false" customHeight="true" outlineLevel="0" collapsed="false">
      <c r="B11" s="6" t="s">
        <v>5</v>
      </c>
      <c r="C11" s="6"/>
      <c r="D11" s="6"/>
      <c r="E11" s="7" t="s">
        <v>6</v>
      </c>
      <c r="F11" s="7"/>
      <c r="G11" s="7"/>
    </row>
    <row r="12" customFormat="false" ht="19.5" hidden="false" customHeight="true" outlineLevel="0" collapsed="false">
      <c r="B12" s="6" t="s">
        <v>7</v>
      </c>
      <c r="C12" s="6"/>
      <c r="D12" s="6"/>
      <c r="E12" s="7" t="s">
        <v>8</v>
      </c>
      <c r="F12" s="7"/>
      <c r="G12" s="7"/>
    </row>
    <row r="13" customFormat="false" ht="19.5" hidden="false" customHeight="true" outlineLevel="0" collapsed="false">
      <c r="B13" s="6" t="s">
        <v>9</v>
      </c>
      <c r="C13" s="6"/>
      <c r="D13" s="6"/>
      <c r="E13" s="7" t="s">
        <v>10</v>
      </c>
      <c r="F13" s="7"/>
      <c r="G13" s="7"/>
    </row>
    <row r="14" customFormat="false" ht="19.5" hidden="false" customHeight="true" outlineLevel="0" collapsed="false">
      <c r="B14" s="6" t="s">
        <v>11</v>
      </c>
      <c r="C14" s="6"/>
      <c r="D14" s="6"/>
      <c r="E14" s="7" t="s">
        <v>12</v>
      </c>
      <c r="F14" s="7"/>
      <c r="G14" s="7"/>
    </row>
    <row r="15" customFormat="false" ht="19.5" hidden="false" customHeight="true" outlineLevel="0" collapsed="false">
      <c r="B15" s="6" t="s">
        <v>13</v>
      </c>
      <c r="C15" s="6"/>
      <c r="D15" s="6"/>
      <c r="E15" s="7" t="s">
        <v>14</v>
      </c>
      <c r="F15" s="7"/>
      <c r="G15" s="7"/>
    </row>
    <row r="16" customFormat="false" ht="19.5" hidden="false" customHeight="true" outlineLevel="0" collapsed="false">
      <c r="B16" s="6" t="s">
        <v>15</v>
      </c>
      <c r="C16" s="6"/>
      <c r="D16" s="6"/>
      <c r="E16" s="7" t="s">
        <v>16</v>
      </c>
      <c r="F16" s="7"/>
      <c r="G16" s="7"/>
    </row>
    <row r="17" customFormat="false" ht="19.5" hidden="false" customHeight="true" outlineLevel="0" collapsed="false">
      <c r="B17" s="6" t="s">
        <v>17</v>
      </c>
      <c r="C17" s="6"/>
      <c r="D17" s="6"/>
      <c r="E17" s="7" t="s">
        <v>18</v>
      </c>
      <c r="F17" s="7"/>
      <c r="G17" s="7"/>
    </row>
    <row r="22" customFormat="false" ht="18" hidden="false" customHeight="true" outlineLevel="0" collapsed="false">
      <c r="B22" s="8" t="s">
        <v>19</v>
      </c>
      <c r="C22" s="8"/>
      <c r="D22" s="8" t="s">
        <v>20</v>
      </c>
      <c r="E22" s="8"/>
      <c r="F22" s="8"/>
      <c r="G22" s="8"/>
      <c r="H22" s="8"/>
      <c r="I22" s="8"/>
    </row>
    <row r="23" customFormat="false" ht="18" hidden="false" customHeight="true" outlineLevel="0" collapsed="false">
      <c r="B23" s="9" t="s">
        <v>21</v>
      </c>
      <c r="C23" s="9"/>
      <c r="D23" s="9" t="s">
        <v>22</v>
      </c>
      <c r="E23" s="9"/>
      <c r="F23" s="9"/>
      <c r="G23" s="9"/>
      <c r="H23" s="9"/>
      <c r="I23" s="9"/>
    </row>
    <row r="24" customFormat="false" ht="18" hidden="false" customHeight="true" outlineLevel="0" collapsed="false">
      <c r="B24" s="10" t="s">
        <v>23</v>
      </c>
      <c r="C24" s="10"/>
      <c r="D24" s="10" t="s">
        <v>24</v>
      </c>
      <c r="E24" s="10"/>
      <c r="F24" s="10"/>
      <c r="G24" s="10"/>
      <c r="H24" s="10"/>
      <c r="I24" s="10"/>
    </row>
    <row r="25" customFormat="false" ht="18" hidden="false" customHeight="true" outlineLevel="0" collapsed="false">
      <c r="B25" s="9" t="s">
        <v>25</v>
      </c>
      <c r="C25" s="9"/>
      <c r="D25" s="9" t="s">
        <v>26</v>
      </c>
      <c r="E25" s="9"/>
      <c r="F25" s="9"/>
      <c r="G25" s="9"/>
      <c r="H25" s="9"/>
      <c r="I25" s="9"/>
    </row>
    <row r="26" customFormat="false" ht="18" hidden="false" customHeight="true" outlineLevel="0" collapsed="false">
      <c r="B26" s="10" t="s">
        <v>27</v>
      </c>
      <c r="C26" s="10"/>
      <c r="D26" s="10" t="s">
        <v>28</v>
      </c>
      <c r="E26" s="10"/>
      <c r="F26" s="10"/>
      <c r="G26" s="10"/>
      <c r="H26" s="10"/>
      <c r="I26" s="10"/>
    </row>
    <row r="27" customFormat="false" ht="18" hidden="false" customHeight="true" outlineLevel="0" collapsed="false">
      <c r="B27" s="9" t="s">
        <v>29</v>
      </c>
      <c r="C27" s="9"/>
      <c r="D27" s="9" t="s">
        <v>30</v>
      </c>
      <c r="E27" s="9"/>
      <c r="F27" s="9"/>
      <c r="G27" s="9"/>
      <c r="H27" s="9"/>
      <c r="I27" s="9"/>
    </row>
    <row r="28" customFormat="false" ht="18" hidden="false" customHeight="true" outlineLevel="0" collapsed="false">
      <c r="B28" s="10" t="s">
        <v>31</v>
      </c>
      <c r="C28" s="10"/>
      <c r="D28" s="10" t="s">
        <v>32</v>
      </c>
      <c r="E28" s="10"/>
      <c r="F28" s="10"/>
      <c r="G28" s="10"/>
      <c r="H28" s="10"/>
      <c r="I28" s="10"/>
    </row>
    <row r="29" customFormat="false" ht="18" hidden="false" customHeight="true" outlineLevel="0" collapsed="false">
      <c r="B29" s="9" t="s">
        <v>33</v>
      </c>
      <c r="C29" s="9"/>
      <c r="D29" s="9" t="s">
        <v>34</v>
      </c>
      <c r="E29" s="9"/>
      <c r="F29" s="9"/>
      <c r="G29" s="9"/>
      <c r="H29" s="9"/>
      <c r="I29" s="9"/>
    </row>
    <row r="33" customFormat="false" ht="30" hidden="false" customHeight="true" outlineLevel="0" collapsed="false">
      <c r="B33" s="11" t="s">
        <v>35</v>
      </c>
      <c r="C33" s="11"/>
      <c r="D33" s="11"/>
      <c r="E33" s="11"/>
      <c r="F33" s="11"/>
      <c r="G33" s="11"/>
      <c r="H33" s="11"/>
      <c r="I33" s="11"/>
      <c r="J33" s="11"/>
    </row>
    <row r="34" customFormat="false" ht="15" hidden="false" customHeight="true" outlineLevel="0" collapsed="false">
      <c r="B34" s="11"/>
      <c r="C34" s="11"/>
      <c r="D34" s="11"/>
      <c r="E34" s="11"/>
      <c r="F34" s="11"/>
      <c r="G34" s="11"/>
      <c r="H34" s="11"/>
      <c r="I34" s="11"/>
      <c r="J34" s="11"/>
    </row>
  </sheetData>
  <mergeCells count="36">
    <mergeCell ref="B2:J3"/>
    <mergeCell ref="B4:J5"/>
    <mergeCell ref="B6:J6"/>
    <mergeCell ref="B10:D10"/>
    <mergeCell ref="E10:G10"/>
    <mergeCell ref="B11:D11"/>
    <mergeCell ref="E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7:D17"/>
    <mergeCell ref="E17:G17"/>
    <mergeCell ref="B22:C22"/>
    <mergeCell ref="D22:I22"/>
    <mergeCell ref="B23:C23"/>
    <mergeCell ref="D23:I23"/>
    <mergeCell ref="B24:C24"/>
    <mergeCell ref="D24:I24"/>
    <mergeCell ref="B25:C25"/>
    <mergeCell ref="D25:I25"/>
    <mergeCell ref="B26:C26"/>
    <mergeCell ref="D26:I26"/>
    <mergeCell ref="B27:C27"/>
    <mergeCell ref="D27:I27"/>
    <mergeCell ref="B28:C28"/>
    <mergeCell ref="D28:I28"/>
    <mergeCell ref="B29:C29"/>
    <mergeCell ref="D29:I29"/>
    <mergeCell ref="B33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7" min="3" style="1" width="14"/>
  </cols>
  <sheetData>
    <row r="1" customFormat="false" ht="15" hidden="false" customHeight="true" outlineLevel="0" collapsed="false">
      <c r="B1" s="12" t="s">
        <v>36</v>
      </c>
      <c r="C1" s="12"/>
      <c r="D1" s="12"/>
      <c r="E1" s="12"/>
      <c r="F1" s="12"/>
      <c r="G1" s="12"/>
    </row>
    <row r="2" customFormat="false" ht="15" hidden="false" customHeight="true" outlineLevel="0" collapsed="false">
      <c r="C2" s="13" t="s">
        <v>37</v>
      </c>
      <c r="D2" s="13" t="s">
        <v>38</v>
      </c>
      <c r="E2" s="13" t="s">
        <v>39</v>
      </c>
      <c r="F2" s="13" t="s">
        <v>40</v>
      </c>
      <c r="G2" s="13" t="s">
        <v>41</v>
      </c>
    </row>
    <row r="3" customFormat="false" ht="15" hidden="false" customHeight="true" outlineLevel="0" collapsed="false">
      <c r="B3" s="14" t="s">
        <v>42</v>
      </c>
      <c r="C3" s="14"/>
      <c r="D3" s="14"/>
      <c r="E3" s="14"/>
      <c r="F3" s="14"/>
      <c r="G3" s="14"/>
    </row>
    <row r="4" customFormat="false" ht="18" hidden="false" customHeight="true" outlineLevel="0" collapsed="false">
      <c r="B4" s="15" t="s">
        <v>43</v>
      </c>
      <c r="C4" s="16" t="n">
        <v>12889</v>
      </c>
      <c r="D4" s="16" t="n">
        <v>14080</v>
      </c>
      <c r="E4" s="16" t="n">
        <v>16440</v>
      </c>
      <c r="F4" s="16" t="n">
        <v>16498</v>
      </c>
      <c r="G4" s="16" t="n">
        <v>18200</v>
      </c>
    </row>
    <row r="5" customFormat="false" ht="18" hidden="false" customHeight="true" outlineLevel="0" collapsed="false">
      <c r="B5" s="17" t="s">
        <v>44</v>
      </c>
      <c r="D5" s="18" t="n">
        <f aca="false">(D4-C4)/ABS(C4)</f>
        <v>0.0924043758243463</v>
      </c>
      <c r="E5" s="18" t="n">
        <f aca="false">(E4-D4)/ABS(D4)</f>
        <v>0.167613636363636</v>
      </c>
      <c r="F5" s="18" t="n">
        <f aca="false">(F4-E4)/ABS(E4)</f>
        <v>0.00352798053527981</v>
      </c>
      <c r="G5" s="18" t="n">
        <f aca="false">(G4-F4)/ABS(F4)</f>
        <v>0.103164019881198</v>
      </c>
    </row>
    <row r="6" customFormat="false" ht="18" hidden="false" customHeight="true" outlineLevel="0" collapsed="false">
      <c r="B6" s="17" t="s">
        <v>45</v>
      </c>
      <c r="C6" s="19" t="n">
        <v>7300</v>
      </c>
      <c r="D6" s="19" t="n">
        <v>7950</v>
      </c>
      <c r="E6" s="19" t="n">
        <v>9300</v>
      </c>
      <c r="F6" s="19" t="n">
        <v>9042</v>
      </c>
      <c r="G6" s="19" t="n">
        <v>9828</v>
      </c>
    </row>
    <row r="7" customFormat="false" ht="18" hidden="false" customHeight="true" outlineLevel="0" collapsed="false">
      <c r="B7" s="20" t="s">
        <v>46</v>
      </c>
      <c r="C7" s="21" t="n">
        <v>5589</v>
      </c>
      <c r="D7" s="21" t="n">
        <v>6130</v>
      </c>
      <c r="E7" s="21" t="n">
        <v>7140</v>
      </c>
      <c r="F7" s="21" t="n">
        <v>7456</v>
      </c>
      <c r="G7" s="21" t="n">
        <v>8372</v>
      </c>
    </row>
    <row r="8" customFormat="false" ht="18" hidden="false" customHeight="true" outlineLevel="0" collapsed="false">
      <c r="B8" s="17" t="s">
        <v>47</v>
      </c>
      <c r="C8" s="18" t="n">
        <f aca="false">C7/C4</f>
        <v>0.433625572193343</v>
      </c>
      <c r="D8" s="18" t="n">
        <f aca="false">D7/D4</f>
        <v>0.435369318181818</v>
      </c>
      <c r="E8" s="18" t="n">
        <f aca="false">E7/E4</f>
        <v>0.434306569343066</v>
      </c>
      <c r="F8" s="18" t="n">
        <f aca="false">F7/F4</f>
        <v>0.451933567705176</v>
      </c>
      <c r="G8" s="18" t="n">
        <f aca="false">G7/G4</f>
        <v>0.46</v>
      </c>
    </row>
    <row r="9" customFormat="false" ht="18" hidden="false" customHeight="true" outlineLevel="0" collapsed="false">
      <c r="B9" s="17" t="s">
        <v>48</v>
      </c>
      <c r="C9" s="19" t="n">
        <v>660</v>
      </c>
      <c r="D9" s="19" t="n">
        <v>720</v>
      </c>
      <c r="E9" s="19" t="n">
        <v>820</v>
      </c>
      <c r="F9" s="19" t="n">
        <v>900</v>
      </c>
      <c r="G9" s="19" t="n">
        <v>990</v>
      </c>
    </row>
    <row r="10" customFormat="false" ht="18" hidden="false" customHeight="true" outlineLevel="0" collapsed="false">
      <c r="B10" s="17" t="s">
        <v>49</v>
      </c>
      <c r="C10" s="19" t="n">
        <v>1870</v>
      </c>
      <c r="D10" s="19" t="n">
        <v>2060</v>
      </c>
      <c r="E10" s="19" t="n">
        <v>2410</v>
      </c>
      <c r="F10" s="19" t="n">
        <v>2500</v>
      </c>
      <c r="G10" s="19" t="n">
        <v>2750</v>
      </c>
    </row>
    <row r="11" customFormat="false" ht="18" hidden="false" customHeight="true" outlineLevel="0" collapsed="false">
      <c r="B11" s="15" t="s">
        <v>50</v>
      </c>
      <c r="C11" s="16" t="n">
        <v>3059</v>
      </c>
      <c r="D11" s="16" t="n">
        <v>3350</v>
      </c>
      <c r="E11" s="16" t="n">
        <v>3910</v>
      </c>
      <c r="F11" s="16" t="n">
        <v>4056</v>
      </c>
      <c r="G11" s="16" t="n">
        <v>4632</v>
      </c>
    </row>
    <row r="12" customFormat="false" ht="18" hidden="false" customHeight="true" outlineLevel="0" collapsed="false">
      <c r="B12" s="17" t="s">
        <v>51</v>
      </c>
      <c r="C12" s="18" t="n">
        <f aca="false">C11/C4</f>
        <v>0.237334160912406</v>
      </c>
      <c r="D12" s="18" t="n">
        <f aca="false">D11/D4</f>
        <v>0.237926136363636</v>
      </c>
      <c r="E12" s="18" t="n">
        <f aca="false">E11/E4</f>
        <v>0.237834549878345</v>
      </c>
      <c r="F12" s="18" t="n">
        <f aca="false">F11/F4</f>
        <v>0.245847981573524</v>
      </c>
      <c r="G12" s="18" t="n">
        <f aca="false">G11/G4</f>
        <v>0.254505494505495</v>
      </c>
    </row>
    <row r="13" customFormat="false" ht="18" hidden="false" customHeight="true" outlineLevel="0" collapsed="false">
      <c r="B13" s="17" t="s">
        <v>52</v>
      </c>
      <c r="C13" s="19" t="n">
        <v>220</v>
      </c>
      <c r="D13" s="19" t="n">
        <v>250</v>
      </c>
      <c r="E13" s="19" t="n">
        <v>280</v>
      </c>
      <c r="F13" s="19" t="n">
        <v>310</v>
      </c>
      <c r="G13" s="19" t="n">
        <v>340</v>
      </c>
    </row>
    <row r="14" customFormat="false" ht="18" hidden="false" customHeight="true" outlineLevel="0" collapsed="false">
      <c r="B14" s="20" t="s">
        <v>53</v>
      </c>
      <c r="C14" s="21" t="n">
        <v>2839</v>
      </c>
      <c r="D14" s="21" t="n">
        <v>3100</v>
      </c>
      <c r="E14" s="21" t="n">
        <v>3630</v>
      </c>
      <c r="F14" s="21" t="n">
        <v>3746</v>
      </c>
      <c r="G14" s="21" t="n">
        <v>4292</v>
      </c>
    </row>
    <row r="15" customFormat="false" ht="18" hidden="false" customHeight="true" outlineLevel="0" collapsed="false">
      <c r="B15" s="17" t="s">
        <v>54</v>
      </c>
      <c r="C15" s="19" t="n">
        <v>200</v>
      </c>
      <c r="D15" s="19" t="n">
        <v>175</v>
      </c>
      <c r="E15" s="19" t="n">
        <v>150</v>
      </c>
      <c r="F15" s="19" t="n">
        <v>135</v>
      </c>
      <c r="G15" s="19" t="n">
        <v>120</v>
      </c>
    </row>
    <row r="16" customFormat="false" ht="18" hidden="false" customHeight="true" outlineLevel="0" collapsed="false">
      <c r="B16" s="17" t="s">
        <v>55</v>
      </c>
      <c r="C16" s="19" t="n">
        <v>240</v>
      </c>
      <c r="D16" s="19" t="n">
        <v>290</v>
      </c>
      <c r="E16" s="19" t="n">
        <v>310</v>
      </c>
      <c r="F16" s="19" t="n">
        <v>340</v>
      </c>
      <c r="G16" s="19" t="n">
        <v>370</v>
      </c>
    </row>
    <row r="17" customFormat="false" ht="18" hidden="false" customHeight="true" outlineLevel="0" collapsed="false">
      <c r="B17" s="15" t="s">
        <v>56</v>
      </c>
      <c r="C17" s="16" t="n">
        <v>2879</v>
      </c>
      <c r="D17" s="16" t="n">
        <v>3215</v>
      </c>
      <c r="E17" s="16" t="n">
        <v>3790</v>
      </c>
      <c r="F17" s="16" t="n">
        <v>3951</v>
      </c>
      <c r="G17" s="16" t="n">
        <v>4542</v>
      </c>
    </row>
    <row r="18" customFormat="false" ht="18" hidden="false" customHeight="true" outlineLevel="0" collapsed="false">
      <c r="B18" s="17" t="s">
        <v>57</v>
      </c>
      <c r="C18" s="19" t="n">
        <v>690</v>
      </c>
      <c r="D18" s="19" t="n">
        <v>760</v>
      </c>
      <c r="E18" s="19" t="n">
        <v>920</v>
      </c>
      <c r="F18" s="19" t="n">
        <v>965</v>
      </c>
      <c r="G18" s="19" t="n">
        <v>1150</v>
      </c>
    </row>
    <row r="19" customFormat="false" ht="18" hidden="false" customHeight="true" outlineLevel="0" collapsed="false">
      <c r="B19" s="22" t="s">
        <v>58</v>
      </c>
      <c r="C19" s="23" t="n">
        <v>2189</v>
      </c>
      <c r="D19" s="23" t="n">
        <v>2455</v>
      </c>
      <c r="E19" s="23" t="n">
        <v>2870</v>
      </c>
      <c r="F19" s="23" t="n">
        <v>2986</v>
      </c>
      <c r="G19" s="23" t="n">
        <v>3392</v>
      </c>
    </row>
    <row r="20" customFormat="false" ht="18" hidden="false" customHeight="true" outlineLevel="0" collapsed="false">
      <c r="B20" s="17" t="s">
        <v>59</v>
      </c>
      <c r="C20" s="18" t="n">
        <f aca="false">C19/C4</f>
        <v>0.169834742803941</v>
      </c>
      <c r="D20" s="18" t="n">
        <f aca="false">D19/D4</f>
        <v>0.174360795454545</v>
      </c>
      <c r="E20" s="18" t="n">
        <f aca="false">E19/E4</f>
        <v>0.174574209245742</v>
      </c>
      <c r="F20" s="18" t="n">
        <f aca="false">F19/F4</f>
        <v>0.180991635349739</v>
      </c>
      <c r="G20" s="18" t="n">
        <f aca="false">G19/G4</f>
        <v>0.186373626373626</v>
      </c>
    </row>
    <row r="21" customFormat="false" ht="18" hidden="false" customHeight="true" outlineLevel="0" collapsed="false">
      <c r="B21" s="17" t="s">
        <v>60</v>
      </c>
      <c r="C21" s="24" t="n">
        <f aca="false">C19/24.087</f>
        <v>90.8788973305102</v>
      </c>
      <c r="D21" s="24" t="n">
        <f aca="false">D19/24.087</f>
        <v>101.922198696392</v>
      </c>
      <c r="E21" s="24" t="n">
        <f aca="false">E19/24.087</f>
        <v>119.15140947399</v>
      </c>
      <c r="F21" s="24" t="n">
        <f aca="false">F19/24.087</f>
        <v>123.967285257608</v>
      </c>
      <c r="G21" s="24" t="n">
        <f aca="false">G19/24.087</f>
        <v>140.82285050027</v>
      </c>
    </row>
    <row r="22" customFormat="false" ht="18" hidden="false" customHeight="true" outlineLevel="0" collapsed="false"/>
    <row r="23" customFormat="false" ht="18" hidden="false" customHeight="true" outlineLevel="0" collapsed="false">
      <c r="B23" s="14" t="s">
        <v>61</v>
      </c>
      <c r="C23" s="14"/>
      <c r="D23" s="14"/>
      <c r="E23" s="14"/>
      <c r="F23" s="14"/>
      <c r="G23" s="14"/>
    </row>
    <row r="24" customFormat="false" ht="18" hidden="false" customHeight="true" outlineLevel="0" collapsed="false">
      <c r="B24" s="17" t="s">
        <v>62</v>
      </c>
      <c r="C24" s="19" t="n">
        <v>24</v>
      </c>
      <c r="D24" s="19" t="n">
        <v>24</v>
      </c>
      <c r="E24" s="19" t="n">
        <v>24</v>
      </c>
      <c r="F24" s="19" t="n">
        <v>24</v>
      </c>
      <c r="G24" s="19" t="n">
        <v>24</v>
      </c>
    </row>
    <row r="25" customFormat="false" ht="18" hidden="false" customHeight="true" outlineLevel="0" collapsed="false">
      <c r="B25" s="17" t="s">
        <v>63</v>
      </c>
      <c r="C25" s="19" t="n">
        <v>2800</v>
      </c>
      <c r="D25" s="19" t="n">
        <v>3700</v>
      </c>
      <c r="E25" s="19" t="n">
        <v>4200</v>
      </c>
      <c r="F25" s="19" t="n">
        <v>3720</v>
      </c>
      <c r="G25" s="19" t="n">
        <v>4000</v>
      </c>
    </row>
    <row r="26" customFormat="false" ht="18" hidden="false" customHeight="true" outlineLevel="0" collapsed="false">
      <c r="B26" s="15" t="s">
        <v>64</v>
      </c>
      <c r="C26" s="16" t="n">
        <v>2824</v>
      </c>
      <c r="D26" s="16" t="n">
        <v>3724</v>
      </c>
      <c r="E26" s="16" t="n">
        <v>4224</v>
      </c>
      <c r="F26" s="16" t="n">
        <v>3744</v>
      </c>
      <c r="G26" s="16" t="n">
        <v>4024</v>
      </c>
    </row>
    <row r="27" customFormat="false" ht="18" hidden="false" customHeight="true" outlineLevel="0" collapsed="false">
      <c r="B27" s="17" t="s">
        <v>65</v>
      </c>
      <c r="C27" s="19" t="n">
        <v>800</v>
      </c>
      <c r="D27" s="19" t="n">
        <v>700</v>
      </c>
      <c r="E27" s="19" t="n">
        <v>600</v>
      </c>
      <c r="F27" s="19" t="n">
        <v>500</v>
      </c>
      <c r="G27" s="19" t="n">
        <v>420</v>
      </c>
    </row>
    <row r="28" customFormat="false" ht="18" hidden="false" customHeight="true" outlineLevel="0" collapsed="false">
      <c r="B28" s="17" t="s">
        <v>66</v>
      </c>
      <c r="C28" s="19" t="n">
        <v>450</v>
      </c>
      <c r="D28" s="19" t="n">
        <v>380</v>
      </c>
      <c r="E28" s="19" t="n">
        <v>310</v>
      </c>
      <c r="F28" s="19" t="n">
        <v>250</v>
      </c>
      <c r="G28" s="19" t="n">
        <v>200</v>
      </c>
    </row>
    <row r="29" customFormat="false" ht="18" hidden="false" customHeight="true" outlineLevel="0" collapsed="false">
      <c r="B29" s="20" t="s">
        <v>67</v>
      </c>
      <c r="C29" s="21" t="n">
        <v>1250</v>
      </c>
      <c r="D29" s="21" t="n">
        <v>1080</v>
      </c>
      <c r="E29" s="21" t="n">
        <v>910</v>
      </c>
      <c r="F29" s="21" t="n">
        <v>750</v>
      </c>
      <c r="G29" s="21" t="n">
        <v>620</v>
      </c>
    </row>
    <row r="30" customFormat="false" ht="18" hidden="false" customHeight="true" outlineLevel="0" collapsed="false">
      <c r="B30" s="17" t="s">
        <v>68</v>
      </c>
      <c r="C30" s="19" t="n">
        <v>1800</v>
      </c>
      <c r="D30" s="19" t="n">
        <v>1950</v>
      </c>
      <c r="E30" s="19" t="n">
        <v>2100</v>
      </c>
      <c r="F30" s="19" t="n">
        <v>2200</v>
      </c>
      <c r="G30" s="19" t="n">
        <v>2400</v>
      </c>
    </row>
    <row r="31" customFormat="false" ht="18" hidden="false" customHeight="true" outlineLevel="0" collapsed="false">
      <c r="B31" s="17" t="s">
        <v>69</v>
      </c>
      <c r="C31" s="19" t="n">
        <v>900</v>
      </c>
      <c r="D31" s="19" t="n">
        <v>980</v>
      </c>
      <c r="E31" s="19" t="n">
        <v>1050</v>
      </c>
      <c r="F31" s="19" t="n">
        <v>1100</v>
      </c>
      <c r="G31" s="19" t="n">
        <v>1200</v>
      </c>
    </row>
    <row r="32" customFormat="false" ht="18" hidden="false" customHeight="true" outlineLevel="0" collapsed="false">
      <c r="B32" s="15" t="s">
        <v>70</v>
      </c>
      <c r="C32" s="16" t="n">
        <v>6774</v>
      </c>
      <c r="D32" s="16" t="n">
        <v>7734</v>
      </c>
      <c r="E32" s="16" t="n">
        <v>8284</v>
      </c>
      <c r="F32" s="16" t="n">
        <v>7794</v>
      </c>
      <c r="G32" s="16" t="n">
        <v>8244</v>
      </c>
    </row>
    <row r="33" customFormat="false" ht="18" hidden="false" customHeight="true" outlineLevel="0" collapsed="false">
      <c r="B33" s="17" t="s">
        <v>71</v>
      </c>
      <c r="C33" s="19" t="n">
        <v>2200</v>
      </c>
      <c r="D33" s="19" t="n">
        <v>2400</v>
      </c>
      <c r="E33" s="19" t="n">
        <v>2600</v>
      </c>
      <c r="F33" s="19" t="n">
        <v>2700</v>
      </c>
      <c r="G33" s="19" t="n">
        <v>2850</v>
      </c>
    </row>
    <row r="34" customFormat="false" ht="18" hidden="false" customHeight="true" outlineLevel="0" collapsed="false">
      <c r="B34" s="17" t="s">
        <v>72</v>
      </c>
      <c r="C34" s="19" t="n">
        <v>1500</v>
      </c>
      <c r="D34" s="19" t="n">
        <v>1800</v>
      </c>
      <c r="E34" s="19" t="n">
        <v>2000</v>
      </c>
      <c r="F34" s="19" t="n">
        <v>1500</v>
      </c>
      <c r="G34" s="19" t="n">
        <v>1600</v>
      </c>
    </row>
    <row r="35" customFormat="false" ht="18" hidden="false" customHeight="true" outlineLevel="0" collapsed="false">
      <c r="B35" s="17" t="s">
        <v>73</v>
      </c>
      <c r="C35" s="19" t="n">
        <v>900</v>
      </c>
      <c r="D35" s="19" t="n">
        <v>1000</v>
      </c>
      <c r="E35" s="19" t="n">
        <v>1100</v>
      </c>
      <c r="F35" s="19" t="n">
        <v>1050</v>
      </c>
      <c r="G35" s="19" t="n">
        <v>1150</v>
      </c>
    </row>
    <row r="36" customFormat="false" ht="18" hidden="false" customHeight="true" outlineLevel="0" collapsed="false">
      <c r="B36" s="17" t="s">
        <v>74</v>
      </c>
      <c r="C36" s="19" t="n">
        <v>450</v>
      </c>
      <c r="D36" s="19" t="n">
        <v>490</v>
      </c>
      <c r="E36" s="19" t="n">
        <v>530</v>
      </c>
      <c r="F36" s="19" t="n">
        <v>510</v>
      </c>
      <c r="G36" s="19" t="n">
        <v>560</v>
      </c>
    </row>
    <row r="37" customFormat="false" ht="18" hidden="false" customHeight="true" outlineLevel="0" collapsed="false">
      <c r="B37" s="17" t="s">
        <v>75</v>
      </c>
      <c r="C37" s="19" t="n">
        <v>680</v>
      </c>
      <c r="D37" s="19" t="n">
        <v>900</v>
      </c>
      <c r="E37" s="19" t="n">
        <v>1100</v>
      </c>
      <c r="F37" s="19" t="n">
        <v>900</v>
      </c>
      <c r="G37" s="19" t="n">
        <v>1000</v>
      </c>
    </row>
    <row r="38" customFormat="false" ht="18" hidden="false" customHeight="true" outlineLevel="0" collapsed="false">
      <c r="B38" s="17" t="s">
        <v>76</v>
      </c>
      <c r="C38" s="19" t="n">
        <v>1044</v>
      </c>
      <c r="D38" s="19" t="n">
        <v>1144</v>
      </c>
      <c r="E38" s="19" t="n">
        <v>954</v>
      </c>
      <c r="F38" s="19" t="n">
        <v>1134</v>
      </c>
      <c r="G38" s="19" t="n">
        <v>1084</v>
      </c>
    </row>
    <row r="39" customFormat="false" ht="18" hidden="false" customHeight="true" outlineLevel="0" collapsed="false">
      <c r="B39" s="22" t="s">
        <v>77</v>
      </c>
      <c r="C39" s="23" t="n">
        <v>6774</v>
      </c>
      <c r="D39" s="23" t="n">
        <v>7734</v>
      </c>
      <c r="E39" s="23" t="n">
        <v>8284</v>
      </c>
      <c r="F39" s="23" t="n">
        <v>7794</v>
      </c>
      <c r="G39" s="23" t="n">
        <v>8244</v>
      </c>
    </row>
    <row r="41" customFormat="false" ht="15" hidden="false" customHeight="true" outlineLevel="0" collapsed="false">
      <c r="B41" s="14" t="s">
        <v>78</v>
      </c>
      <c r="C41" s="14"/>
      <c r="D41" s="14"/>
      <c r="E41" s="14"/>
      <c r="F41" s="14"/>
      <c r="G41" s="14"/>
    </row>
    <row r="42" customFormat="false" ht="18" hidden="false" customHeight="true" outlineLevel="0" collapsed="false">
      <c r="B42" s="15" t="s">
        <v>79</v>
      </c>
      <c r="C42" s="16" t="n">
        <v>2700</v>
      </c>
      <c r="D42" s="16" t="n">
        <v>2980</v>
      </c>
      <c r="E42" s="16" t="n">
        <v>3450</v>
      </c>
      <c r="F42" s="16" t="n">
        <v>3580</v>
      </c>
      <c r="G42" s="16" t="n">
        <v>4050</v>
      </c>
    </row>
    <row r="43" customFormat="false" ht="18" hidden="false" customHeight="true" outlineLevel="0" collapsed="false">
      <c r="B43" s="17" t="s">
        <v>80</v>
      </c>
      <c r="C43" s="19" t="n">
        <v>450</v>
      </c>
      <c r="D43" s="19" t="n">
        <v>520</v>
      </c>
      <c r="E43" s="19" t="n">
        <v>600</v>
      </c>
      <c r="F43" s="19" t="n">
        <v>580</v>
      </c>
      <c r="G43" s="19" t="n">
        <v>620</v>
      </c>
    </row>
    <row r="44" customFormat="false" ht="18" hidden="false" customHeight="true" outlineLevel="0" collapsed="false">
      <c r="B44" s="22" t="s">
        <v>81</v>
      </c>
      <c r="C44" s="23" t="n">
        <v>2250</v>
      </c>
      <c r="D44" s="23" t="n">
        <v>2460</v>
      </c>
      <c r="E44" s="23" t="n">
        <v>2850</v>
      </c>
      <c r="F44" s="23" t="n">
        <v>3000</v>
      </c>
      <c r="G44" s="23" t="n">
        <v>3430</v>
      </c>
    </row>
    <row r="45" customFormat="false" ht="18" hidden="false" customHeight="true" outlineLevel="0" collapsed="false">
      <c r="B45" s="17" t="s">
        <v>82</v>
      </c>
      <c r="C45" s="19" t="n">
        <v>350</v>
      </c>
      <c r="D45" s="19" t="n">
        <v>400</v>
      </c>
      <c r="E45" s="19" t="n">
        <v>480</v>
      </c>
      <c r="F45" s="19" t="n">
        <v>450</v>
      </c>
      <c r="G45" s="19" t="n">
        <v>500</v>
      </c>
    </row>
    <row r="46" customFormat="false" ht="18" hidden="false" customHeight="true" outlineLevel="0" collapsed="false">
      <c r="B46" s="17" t="s">
        <v>83</v>
      </c>
      <c r="C46" s="19" t="n">
        <v>1200</v>
      </c>
      <c r="D46" s="19" t="n">
        <v>1500</v>
      </c>
      <c r="E46" s="19" t="n">
        <v>1700</v>
      </c>
      <c r="F46" s="19" t="n">
        <v>1800</v>
      </c>
      <c r="G46" s="19" t="n">
        <v>2100</v>
      </c>
    </row>
    <row r="47" customFormat="false" ht="18" hidden="false" customHeight="true" outlineLevel="0" collapsed="false">
      <c r="B47" s="25" t="s">
        <v>84</v>
      </c>
      <c r="C47" s="26" t="n">
        <v>700</v>
      </c>
      <c r="D47" s="26" t="n">
        <v>220</v>
      </c>
      <c r="E47" s="26" t="n">
        <v>200</v>
      </c>
      <c r="F47" s="26" t="n">
        <v>200</v>
      </c>
      <c r="G47" s="26" t="n">
        <v>100</v>
      </c>
    </row>
    <row r="49" customFormat="false" ht="15" hidden="false" customHeight="true" outlineLevel="0" collapsed="false">
      <c r="B49" s="14" t="s">
        <v>85</v>
      </c>
      <c r="C49" s="14"/>
      <c r="D49" s="14"/>
      <c r="E49" s="14"/>
      <c r="F49" s="14"/>
      <c r="G49" s="14"/>
    </row>
    <row r="50" customFormat="false" ht="18" hidden="false" customHeight="true" outlineLevel="0" collapsed="false">
      <c r="B50" s="25" t="s">
        <v>86</v>
      </c>
      <c r="C50" s="27" t="s">
        <v>87</v>
      </c>
      <c r="D50" s="27" t="s">
        <v>88</v>
      </c>
      <c r="E50" s="27" t="s">
        <v>89</v>
      </c>
      <c r="F50" s="27" t="s">
        <v>90</v>
      </c>
      <c r="G50" s="27" t="s">
        <v>91</v>
      </c>
    </row>
    <row r="51" customFormat="false" ht="18" hidden="false" customHeight="true" outlineLevel="0" collapsed="false">
      <c r="B51" s="17" t="s">
        <v>92</v>
      </c>
      <c r="C51" s="28" t="s">
        <v>88</v>
      </c>
      <c r="D51" s="28" t="s">
        <v>93</v>
      </c>
      <c r="E51" s="28" t="s">
        <v>94</v>
      </c>
      <c r="F51" s="28" t="s">
        <v>95</v>
      </c>
      <c r="G51" s="28" t="s">
        <v>96</v>
      </c>
    </row>
    <row r="52" customFormat="false" ht="18" hidden="false" customHeight="true" outlineLevel="0" collapsed="false">
      <c r="B52" s="25" t="s">
        <v>97</v>
      </c>
      <c r="C52" s="27" t="s">
        <v>98</v>
      </c>
      <c r="D52" s="27" t="s">
        <v>99</v>
      </c>
      <c r="E52" s="27" t="s">
        <v>100</v>
      </c>
      <c r="F52" s="27" t="s">
        <v>101</v>
      </c>
      <c r="G52" s="27" t="s">
        <v>102</v>
      </c>
    </row>
    <row r="53" customFormat="false" ht="18" hidden="false" customHeight="true" outlineLevel="0" collapsed="false">
      <c r="B53" s="17" t="s">
        <v>103</v>
      </c>
      <c r="C53" s="28" t="s">
        <v>104</v>
      </c>
      <c r="D53" s="28" t="s">
        <v>105</v>
      </c>
      <c r="E53" s="28" t="s">
        <v>106</v>
      </c>
      <c r="F53" s="28" t="s">
        <v>107</v>
      </c>
      <c r="G53" s="28" t="s">
        <v>108</v>
      </c>
    </row>
    <row r="54" customFormat="false" ht="18" hidden="false" customHeight="true" outlineLevel="0" collapsed="false">
      <c r="B54" s="25" t="s">
        <v>109</v>
      </c>
      <c r="C54" s="27" t="s">
        <v>110</v>
      </c>
      <c r="D54" s="27" t="s">
        <v>111</v>
      </c>
      <c r="E54" s="27" t="s">
        <v>112</v>
      </c>
      <c r="F54" s="27" t="s">
        <v>113</v>
      </c>
      <c r="G54" s="27" t="s">
        <v>114</v>
      </c>
    </row>
    <row r="55" customFormat="false" ht="18" hidden="false" customHeight="true" outlineLevel="0" collapsed="false">
      <c r="B55" s="17" t="s">
        <v>115</v>
      </c>
      <c r="C55" s="28" t="s">
        <v>116</v>
      </c>
      <c r="D55" s="28" t="s">
        <v>117</v>
      </c>
      <c r="E55" s="28" t="s">
        <v>118</v>
      </c>
      <c r="F55" s="28" t="s">
        <v>119</v>
      </c>
      <c r="G55" s="28" t="s">
        <v>120</v>
      </c>
    </row>
    <row r="57" customFormat="false" ht="19.5" hidden="false" customHeight="true" outlineLevel="0" collapsed="false">
      <c r="B57" s="29" t="s">
        <v>121</v>
      </c>
      <c r="C57" s="29"/>
      <c r="D57" s="29"/>
      <c r="E57" s="29"/>
      <c r="F57" s="29"/>
      <c r="G57" s="29"/>
    </row>
  </sheetData>
  <mergeCells count="6">
    <mergeCell ref="B1:G1"/>
    <mergeCell ref="B3:G3"/>
    <mergeCell ref="B23:G23"/>
    <mergeCell ref="B41:G41"/>
    <mergeCell ref="B49:G49"/>
    <mergeCell ref="B57:G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12" min="3" style="1" width="12"/>
  </cols>
  <sheetData>
    <row r="1" customFormat="false" ht="15" hidden="false" customHeight="true" outlineLevel="0" collapsed="false">
      <c r="B1" s="12" t="s">
        <v>122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3" customFormat="false" ht="15" hidden="false" customHeight="true" outlineLevel="0" collapsed="false">
      <c r="B3" s="14" t="s">
        <v>123</v>
      </c>
      <c r="C3" s="14"/>
      <c r="D3" s="14"/>
      <c r="E3" s="14"/>
      <c r="F3" s="14"/>
    </row>
    <row r="4" customFormat="false" ht="18" hidden="false" customHeight="true" outlineLevel="0" collapsed="false">
      <c r="B4" s="30" t="s">
        <v>124</v>
      </c>
      <c r="C4" s="31" t="n">
        <v>0.071</v>
      </c>
    </row>
    <row r="5" customFormat="false" ht="18" hidden="false" customHeight="true" outlineLevel="0" collapsed="false">
      <c r="B5" s="17" t="s">
        <v>125</v>
      </c>
      <c r="C5" s="32" t="n">
        <v>0.055</v>
      </c>
    </row>
    <row r="6" customFormat="false" ht="18" hidden="false" customHeight="true" outlineLevel="0" collapsed="false">
      <c r="B6" s="30" t="s">
        <v>126</v>
      </c>
      <c r="C6" s="33" t="n">
        <v>0.53</v>
      </c>
    </row>
    <row r="7" customFormat="false" ht="18" hidden="false" customHeight="true" outlineLevel="0" collapsed="false">
      <c r="B7" s="34" t="s">
        <v>127</v>
      </c>
      <c r="C7" s="35" t="n">
        <f aca="false">C4+C6*C5</f>
        <v>0.10015</v>
      </c>
    </row>
    <row r="8" customFormat="false" ht="18" hidden="false" customHeight="true" outlineLevel="0" collapsed="false">
      <c r="B8" s="30" t="s">
        <v>128</v>
      </c>
      <c r="C8" s="31" t="n">
        <v>0.085</v>
      </c>
    </row>
    <row r="9" customFormat="false" ht="18" hidden="false" customHeight="true" outlineLevel="0" collapsed="false">
      <c r="B9" s="17" t="s">
        <v>129</v>
      </c>
      <c r="C9" s="32" t="n">
        <v>0.253</v>
      </c>
    </row>
    <row r="10" customFormat="false" ht="18" hidden="false" customHeight="true" outlineLevel="0" collapsed="false">
      <c r="B10" s="30" t="s">
        <v>130</v>
      </c>
      <c r="C10" s="36" t="n">
        <f aca="false">C8*(1-C9)</f>
        <v>0.063495</v>
      </c>
    </row>
    <row r="11" customFormat="false" ht="18" hidden="false" customHeight="true" outlineLevel="0" collapsed="false">
      <c r="B11" s="17" t="s">
        <v>131</v>
      </c>
      <c r="C11" s="32" t="n">
        <v>0.08</v>
      </c>
    </row>
    <row r="12" customFormat="false" ht="18" hidden="false" customHeight="true" outlineLevel="0" collapsed="false">
      <c r="B12" s="30" t="s">
        <v>132</v>
      </c>
      <c r="C12" s="31" t="n">
        <v>0.92</v>
      </c>
    </row>
    <row r="13" customFormat="false" ht="18" hidden="false" customHeight="true" outlineLevel="0" collapsed="false">
      <c r="B13" s="34" t="s">
        <v>133</v>
      </c>
      <c r="C13" s="37" t="n">
        <f aca="false">C7*C12+C10*C11</f>
        <v>0.0972176</v>
      </c>
    </row>
    <row r="18" customFormat="false" ht="15" hidden="false" customHeight="true" outlineLevel="0" collapsed="false">
      <c r="B18" s="14" t="s">
        <v>134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15" hidden="false" customHeight="true" outlineLevel="0" collapsed="false">
      <c r="C19" s="38" t="s">
        <v>135</v>
      </c>
      <c r="D19" s="38" t="s">
        <v>136</v>
      </c>
      <c r="E19" s="38" t="s">
        <v>137</v>
      </c>
      <c r="F19" s="38" t="s">
        <v>138</v>
      </c>
      <c r="G19" s="38" t="s">
        <v>139</v>
      </c>
      <c r="H19" s="38" t="s">
        <v>140</v>
      </c>
      <c r="I19" s="38" t="s">
        <v>141</v>
      </c>
      <c r="J19" s="38" t="s">
        <v>142</v>
      </c>
      <c r="K19" s="38" t="s">
        <v>143</v>
      </c>
      <c r="L19" s="38" t="s">
        <v>144</v>
      </c>
    </row>
    <row r="20" customFormat="false" ht="18" hidden="false" customHeight="true" outlineLevel="0" collapsed="false">
      <c r="B20" s="25" t="s">
        <v>145</v>
      </c>
      <c r="C20" s="27" t="s">
        <v>146</v>
      </c>
      <c r="D20" s="27" t="s">
        <v>146</v>
      </c>
      <c r="E20" s="27" t="s">
        <v>147</v>
      </c>
      <c r="F20" s="27" t="s">
        <v>147</v>
      </c>
      <c r="G20" s="27" t="s">
        <v>148</v>
      </c>
      <c r="H20" s="27" t="s">
        <v>148</v>
      </c>
      <c r="I20" s="27" t="s">
        <v>149</v>
      </c>
      <c r="J20" s="27" t="s">
        <v>149</v>
      </c>
      <c r="K20" s="27" t="s">
        <v>150</v>
      </c>
      <c r="L20" s="27" t="s">
        <v>150</v>
      </c>
    </row>
    <row r="21" customFormat="false" ht="18" hidden="false" customHeight="true" outlineLevel="0" collapsed="false">
      <c r="B21" s="15" t="s">
        <v>151</v>
      </c>
      <c r="C21" s="16" t="n">
        <v>20020</v>
      </c>
      <c r="D21" s="16" t="n">
        <v>22022</v>
      </c>
      <c r="E21" s="16" t="n">
        <v>24004</v>
      </c>
      <c r="F21" s="16" t="n">
        <v>26164</v>
      </c>
      <c r="G21" s="16" t="n">
        <v>28257</v>
      </c>
      <c r="H21" s="16" t="n">
        <v>30517</v>
      </c>
      <c r="I21" s="16" t="n">
        <v>32653</v>
      </c>
      <c r="J21" s="16" t="n">
        <v>34939</v>
      </c>
      <c r="K21" s="16" t="n">
        <v>37036</v>
      </c>
      <c r="L21" s="16" t="n">
        <v>39258</v>
      </c>
    </row>
    <row r="22" customFormat="false" ht="18" hidden="false" customHeight="true" outlineLevel="0" collapsed="false">
      <c r="B22" s="25" t="s">
        <v>51</v>
      </c>
      <c r="C22" s="27" t="s">
        <v>152</v>
      </c>
      <c r="D22" s="27" t="s">
        <v>153</v>
      </c>
      <c r="E22" s="27" t="s">
        <v>154</v>
      </c>
      <c r="F22" s="27" t="s">
        <v>155</v>
      </c>
      <c r="G22" s="27" t="s">
        <v>156</v>
      </c>
      <c r="H22" s="27" t="s">
        <v>157</v>
      </c>
      <c r="I22" s="27" t="s">
        <v>157</v>
      </c>
      <c r="J22" s="27" t="s">
        <v>157</v>
      </c>
      <c r="K22" s="27" t="s">
        <v>157</v>
      </c>
      <c r="L22" s="27" t="s">
        <v>157</v>
      </c>
    </row>
    <row r="23" customFormat="false" ht="18" hidden="false" customHeight="true" outlineLevel="0" collapsed="false">
      <c r="B23" s="15" t="s">
        <v>50</v>
      </c>
      <c r="C23" s="16" t="n">
        <v>3904</v>
      </c>
      <c r="D23" s="16" t="n">
        <v>4360</v>
      </c>
      <c r="E23" s="16" t="n">
        <v>4801</v>
      </c>
      <c r="F23" s="16" t="n">
        <v>5285</v>
      </c>
      <c r="G23" s="16" t="n">
        <v>5764</v>
      </c>
      <c r="H23" s="16" t="n">
        <v>6256</v>
      </c>
      <c r="I23" s="16" t="n">
        <v>6694</v>
      </c>
      <c r="J23" s="16" t="n">
        <v>7163</v>
      </c>
      <c r="K23" s="16" t="n">
        <v>7592</v>
      </c>
      <c r="L23" s="16" t="n">
        <v>8048</v>
      </c>
    </row>
    <row r="24" customFormat="false" ht="18" hidden="false" customHeight="true" outlineLevel="0" collapsed="false">
      <c r="B24" s="25" t="s">
        <v>158</v>
      </c>
      <c r="C24" s="26" t="n">
        <v>370</v>
      </c>
      <c r="D24" s="26" t="n">
        <v>400</v>
      </c>
      <c r="E24" s="26" t="n">
        <v>430</v>
      </c>
      <c r="F24" s="26" t="n">
        <v>460</v>
      </c>
      <c r="G24" s="26" t="n">
        <v>490</v>
      </c>
      <c r="H24" s="26" t="n">
        <v>520</v>
      </c>
      <c r="I24" s="26" t="n">
        <v>550</v>
      </c>
      <c r="J24" s="26" t="n">
        <v>580</v>
      </c>
      <c r="K24" s="26" t="n">
        <v>610</v>
      </c>
      <c r="L24" s="26" t="n">
        <v>640</v>
      </c>
    </row>
    <row r="25" customFormat="false" ht="18" hidden="false" customHeight="true" outlineLevel="0" collapsed="false">
      <c r="B25" s="17" t="s">
        <v>53</v>
      </c>
      <c r="C25" s="19" t="n">
        <v>3534</v>
      </c>
      <c r="D25" s="19" t="n">
        <v>3960</v>
      </c>
      <c r="E25" s="19" t="n">
        <v>4371</v>
      </c>
      <c r="F25" s="19" t="n">
        <v>4825</v>
      </c>
      <c r="G25" s="19" t="n">
        <v>5274</v>
      </c>
      <c r="H25" s="19" t="n">
        <v>5736</v>
      </c>
      <c r="I25" s="19" t="n">
        <v>6144</v>
      </c>
      <c r="J25" s="19" t="n">
        <v>6583</v>
      </c>
      <c r="K25" s="19" t="n">
        <v>6982</v>
      </c>
      <c r="L25" s="19" t="n">
        <v>7408</v>
      </c>
    </row>
    <row r="26" customFormat="false" ht="18" hidden="false" customHeight="true" outlineLevel="0" collapsed="false">
      <c r="B26" s="25" t="s">
        <v>159</v>
      </c>
      <c r="C26" s="26" t="n">
        <v>894</v>
      </c>
      <c r="D26" s="26" t="n">
        <v>1002</v>
      </c>
      <c r="E26" s="26" t="n">
        <v>1106</v>
      </c>
      <c r="F26" s="26" t="n">
        <v>1221</v>
      </c>
      <c r="G26" s="26" t="n">
        <v>1334</v>
      </c>
      <c r="H26" s="26" t="n">
        <v>1451</v>
      </c>
      <c r="I26" s="26" t="n">
        <v>1554</v>
      </c>
      <c r="J26" s="26" t="n">
        <v>1666</v>
      </c>
      <c r="K26" s="26" t="n">
        <v>1767</v>
      </c>
      <c r="L26" s="26" t="n">
        <v>1874</v>
      </c>
    </row>
    <row r="27" customFormat="false" ht="18" hidden="false" customHeight="true" outlineLevel="0" collapsed="false">
      <c r="B27" s="15" t="s">
        <v>160</v>
      </c>
      <c r="C27" s="16" t="n">
        <v>2640</v>
      </c>
      <c r="D27" s="16" t="n">
        <v>2958</v>
      </c>
      <c r="E27" s="16" t="n">
        <v>3265</v>
      </c>
      <c r="F27" s="16" t="n">
        <v>3604</v>
      </c>
      <c r="G27" s="16" t="n">
        <v>3940</v>
      </c>
      <c r="H27" s="16" t="n">
        <v>4285</v>
      </c>
      <c r="I27" s="16" t="n">
        <v>4590</v>
      </c>
      <c r="J27" s="16" t="n">
        <v>4917</v>
      </c>
      <c r="K27" s="16" t="n">
        <v>5215</v>
      </c>
      <c r="L27" s="16" t="n">
        <v>5534</v>
      </c>
    </row>
    <row r="28" customFormat="false" ht="18" hidden="false" customHeight="true" outlineLevel="0" collapsed="false">
      <c r="B28" s="25" t="s">
        <v>161</v>
      </c>
      <c r="C28" s="26" t="n">
        <v>370</v>
      </c>
      <c r="D28" s="26" t="n">
        <v>400</v>
      </c>
      <c r="E28" s="26" t="n">
        <v>430</v>
      </c>
      <c r="F28" s="26" t="n">
        <v>460</v>
      </c>
      <c r="G28" s="26" t="n">
        <v>490</v>
      </c>
      <c r="H28" s="26" t="n">
        <v>520</v>
      </c>
      <c r="I28" s="26" t="n">
        <v>550</v>
      </c>
      <c r="J28" s="26" t="n">
        <v>580</v>
      </c>
      <c r="K28" s="26" t="n">
        <v>610</v>
      </c>
      <c r="L28" s="26" t="n">
        <v>640</v>
      </c>
    </row>
    <row r="29" customFormat="false" ht="18" hidden="false" customHeight="true" outlineLevel="0" collapsed="false">
      <c r="B29" s="17" t="s">
        <v>162</v>
      </c>
      <c r="C29" s="19" t="n">
        <v>650</v>
      </c>
      <c r="D29" s="19" t="n">
        <v>700</v>
      </c>
      <c r="E29" s="19" t="n">
        <v>730</v>
      </c>
      <c r="F29" s="19" t="n">
        <v>760</v>
      </c>
      <c r="G29" s="19" t="n">
        <v>790</v>
      </c>
      <c r="H29" s="19" t="n">
        <v>820</v>
      </c>
      <c r="I29" s="19" t="n">
        <v>840</v>
      </c>
      <c r="J29" s="19" t="n">
        <v>860</v>
      </c>
      <c r="K29" s="19" t="n">
        <v>880</v>
      </c>
      <c r="L29" s="19" t="n">
        <v>900</v>
      </c>
    </row>
    <row r="30" customFormat="false" ht="18" hidden="false" customHeight="true" outlineLevel="0" collapsed="false">
      <c r="B30" s="25" t="s">
        <v>163</v>
      </c>
      <c r="C30" s="26" t="n">
        <v>150</v>
      </c>
      <c r="D30" s="26" t="n">
        <v>180</v>
      </c>
      <c r="E30" s="26" t="n">
        <v>190</v>
      </c>
      <c r="F30" s="26" t="n">
        <v>200</v>
      </c>
      <c r="G30" s="26" t="n">
        <v>210</v>
      </c>
      <c r="H30" s="26" t="n">
        <v>220</v>
      </c>
      <c r="I30" s="26" t="n">
        <v>225</v>
      </c>
      <c r="J30" s="26" t="n">
        <v>230</v>
      </c>
      <c r="K30" s="26" t="n">
        <v>235</v>
      </c>
      <c r="L30" s="26" t="n">
        <v>240</v>
      </c>
    </row>
    <row r="31" customFormat="false" ht="18" hidden="false" customHeight="true" outlineLevel="0" collapsed="false">
      <c r="B31" s="15" t="s">
        <v>164</v>
      </c>
      <c r="C31" s="16" t="n">
        <v>2210</v>
      </c>
      <c r="D31" s="16" t="n">
        <v>2478</v>
      </c>
      <c r="E31" s="16" t="n">
        <v>2775</v>
      </c>
      <c r="F31" s="16" t="n">
        <v>3104</v>
      </c>
      <c r="G31" s="16" t="n">
        <v>3430</v>
      </c>
      <c r="H31" s="16" t="n">
        <v>3765</v>
      </c>
      <c r="I31" s="16" t="n">
        <v>4075</v>
      </c>
      <c r="J31" s="16" t="n">
        <v>4407</v>
      </c>
      <c r="K31" s="16" t="n">
        <v>4710</v>
      </c>
      <c r="L31" s="16" t="n">
        <v>5034</v>
      </c>
    </row>
    <row r="32" customFormat="false" ht="18" hidden="false" customHeight="true" outlineLevel="0" collapsed="false">
      <c r="B32" s="25" t="s">
        <v>165</v>
      </c>
      <c r="C32" s="39" t="n">
        <f aca="false">1/(1+$C$16)^1</f>
        <v>1</v>
      </c>
      <c r="D32" s="39" t="n">
        <f aca="false">1/(1+$C$16)^2</f>
        <v>1</v>
      </c>
      <c r="E32" s="39" t="n">
        <f aca="false">1/(1+$C$16)^3</f>
        <v>1</v>
      </c>
      <c r="F32" s="39" t="n">
        <f aca="false">1/(1+$C$16)^4</f>
        <v>1</v>
      </c>
      <c r="G32" s="39" t="n">
        <f aca="false">1/(1+$C$16)^5</f>
        <v>1</v>
      </c>
      <c r="H32" s="39" t="n">
        <f aca="false">1/(1+$C$16)^6</f>
        <v>1</v>
      </c>
      <c r="I32" s="39" t="n">
        <f aca="false">1/(1+$C$16)^7</f>
        <v>1</v>
      </c>
      <c r="J32" s="39" t="n">
        <f aca="false">1/(1+$C$16)^8</f>
        <v>1</v>
      </c>
      <c r="K32" s="39" t="n">
        <f aca="false">1/(1+$C$16)^9</f>
        <v>1</v>
      </c>
      <c r="L32" s="39" t="n">
        <f aca="false">1/(1+$C$16)^10</f>
        <v>1</v>
      </c>
    </row>
    <row r="33" customFormat="false" ht="18" hidden="false" customHeight="true" outlineLevel="0" collapsed="false">
      <c r="B33" s="17" t="s">
        <v>166</v>
      </c>
      <c r="C33" s="40" t="n">
        <f aca="false">C31*C32</f>
        <v>2210</v>
      </c>
      <c r="D33" s="40" t="n">
        <f aca="false">D31*D32</f>
        <v>2478</v>
      </c>
      <c r="E33" s="40" t="n">
        <f aca="false">E31*E32</f>
        <v>2775</v>
      </c>
      <c r="F33" s="40" t="n">
        <f aca="false">F31*F32</f>
        <v>3104</v>
      </c>
      <c r="G33" s="40" t="n">
        <f aca="false">G31*G32</f>
        <v>3430</v>
      </c>
      <c r="H33" s="40" t="n">
        <f aca="false">H31*H32</f>
        <v>3765</v>
      </c>
      <c r="I33" s="40" t="n">
        <f aca="false">I31*I32</f>
        <v>4075</v>
      </c>
      <c r="J33" s="40" t="n">
        <f aca="false">J31*J32</f>
        <v>4407</v>
      </c>
      <c r="K33" s="40" t="n">
        <f aca="false">K31*K32</f>
        <v>4710</v>
      </c>
      <c r="L33" s="40" t="n">
        <f aca="false">L31*L32</f>
        <v>5034</v>
      </c>
    </row>
    <row r="35" customFormat="false" ht="15" hidden="false" customHeight="true" outlineLevel="0" collapsed="false">
      <c r="B35" s="14" t="s">
        <v>167</v>
      </c>
      <c r="C35" s="14"/>
      <c r="D35" s="14"/>
      <c r="E35" s="14"/>
      <c r="F35" s="14"/>
      <c r="G35" s="14"/>
    </row>
    <row r="36" customFormat="false" ht="19.5" hidden="false" customHeight="true" outlineLevel="0" collapsed="false">
      <c r="B36" s="41" t="s">
        <v>168</v>
      </c>
      <c r="C36" s="42" t="s">
        <v>169</v>
      </c>
    </row>
    <row r="37" customFormat="false" ht="19.5" hidden="false" customHeight="true" outlineLevel="0" collapsed="false">
      <c r="B37" s="25" t="s">
        <v>170</v>
      </c>
      <c r="C37" s="43" t="n">
        <f aca="false">L31</f>
        <v>5034</v>
      </c>
    </row>
    <row r="38" customFormat="false" ht="19.5" hidden="false" customHeight="true" outlineLevel="0" collapsed="false">
      <c r="B38" s="15" t="s">
        <v>171</v>
      </c>
      <c r="C38" s="44" t="n">
        <f aca="false">C37*(1+C36)/(C16-C36)</f>
        <v>-88934</v>
      </c>
    </row>
    <row r="39" customFormat="false" ht="19.5" hidden="false" customHeight="true" outlineLevel="0" collapsed="false">
      <c r="B39" s="41" t="s">
        <v>172</v>
      </c>
      <c r="C39" s="45" t="n">
        <f aca="false">C38/(1+C16)^10</f>
        <v>-88934</v>
      </c>
    </row>
    <row r="40" customFormat="false" ht="19.5" hidden="false" customHeight="true" outlineLevel="0" collapsed="false">
      <c r="B40" s="25" t="s">
        <v>173</v>
      </c>
      <c r="C40" s="43" t="n">
        <f aca="false">SUM(C33:L33)</f>
        <v>35988</v>
      </c>
    </row>
    <row r="41" customFormat="false" ht="19.5" hidden="false" customHeight="true" outlineLevel="0" collapsed="false">
      <c r="B41" s="15" t="s">
        <v>174</v>
      </c>
      <c r="C41" s="44" t="n">
        <f aca="false">C39+C40</f>
        <v>-52946</v>
      </c>
    </row>
    <row r="42" customFormat="false" ht="19.5" hidden="false" customHeight="true" outlineLevel="0" collapsed="false">
      <c r="B42" s="17" t="s">
        <v>175</v>
      </c>
      <c r="C42" s="28" t="s">
        <v>176</v>
      </c>
    </row>
    <row r="43" customFormat="false" ht="19.5" hidden="false" customHeight="true" outlineLevel="0" collapsed="false">
      <c r="B43" s="22" t="s">
        <v>177</v>
      </c>
      <c r="C43" s="40" t="n">
        <f aca="false">C41-C42</f>
        <v>-53696</v>
      </c>
    </row>
    <row r="44" customFormat="false" ht="19.5" hidden="false" customHeight="true" outlineLevel="0" collapsed="false">
      <c r="B44" s="25" t="s">
        <v>178</v>
      </c>
      <c r="C44" s="27" t="s">
        <v>179</v>
      </c>
    </row>
    <row r="45" customFormat="false" ht="19.5" hidden="false" customHeight="true" outlineLevel="0" collapsed="false">
      <c r="B45" s="22" t="s">
        <v>180</v>
      </c>
      <c r="C45" s="46" t="n">
        <f aca="false">(C43/C44)*100</f>
        <v>-222925.229376842</v>
      </c>
    </row>
    <row r="46" customFormat="false" ht="19.5" hidden="false" customHeight="true" outlineLevel="0" collapsed="false">
      <c r="B46" s="17" t="s">
        <v>5</v>
      </c>
      <c r="C46" s="28" t="s">
        <v>181</v>
      </c>
    </row>
    <row r="47" customFormat="false" ht="19.5" hidden="false" customHeight="true" outlineLevel="0" collapsed="false">
      <c r="B47" s="15" t="s">
        <v>182</v>
      </c>
      <c r="C47" s="47" t="n">
        <f aca="false">(C45-C46)/C46</f>
        <v>-38.3972872633522</v>
      </c>
    </row>
  </sheetData>
  <mergeCells count="4">
    <mergeCell ref="B1:L1"/>
    <mergeCell ref="B3:F3"/>
    <mergeCell ref="B18:L18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8" min="3" style="1" width="14"/>
  </cols>
  <sheetData>
    <row r="1" customFormat="false" ht="15" hidden="false" customHeight="true" outlineLevel="0" collapsed="false">
      <c r="B1" s="12" t="s">
        <v>183</v>
      </c>
      <c r="C1" s="12"/>
      <c r="D1" s="12"/>
      <c r="E1" s="12"/>
      <c r="F1" s="12"/>
      <c r="G1" s="12"/>
      <c r="H1" s="12"/>
    </row>
    <row r="3" customFormat="false" ht="15" hidden="false" customHeight="true" outlineLevel="0" collapsed="false">
      <c r="B3" s="14" t="s">
        <v>184</v>
      </c>
      <c r="C3" s="14"/>
      <c r="D3" s="14"/>
      <c r="E3" s="14"/>
      <c r="F3" s="14"/>
      <c r="G3" s="14"/>
      <c r="H3" s="14"/>
    </row>
    <row r="4" customFormat="false" ht="15" hidden="false" customHeight="true" outlineLevel="0" collapsed="false">
      <c r="B4" s="13" t="s">
        <v>185</v>
      </c>
      <c r="C4" s="13" t="s">
        <v>186</v>
      </c>
      <c r="D4" s="13" t="s">
        <v>187</v>
      </c>
      <c r="E4" s="13" t="s">
        <v>188</v>
      </c>
      <c r="F4" s="13" t="s">
        <v>189</v>
      </c>
      <c r="G4" s="13" t="s">
        <v>190</v>
      </c>
      <c r="H4" s="13" t="s">
        <v>191</v>
      </c>
    </row>
    <row r="5" customFormat="false" ht="18" hidden="false" customHeight="true" outlineLevel="0" collapsed="false">
      <c r="B5" s="15" t="s">
        <v>192</v>
      </c>
      <c r="C5" s="48" t="n">
        <v>5961</v>
      </c>
      <c r="D5" s="49" t="n">
        <v>91.1</v>
      </c>
      <c r="E5" s="50" t="n">
        <f aca="false">C5/D5</f>
        <v>65.4335894621295</v>
      </c>
      <c r="F5" s="49" t="n">
        <v>109</v>
      </c>
      <c r="G5" s="50" t="n">
        <f aca="false">C5/F5</f>
        <v>54.6880733944954</v>
      </c>
      <c r="H5" s="48" t="n">
        <v>143582</v>
      </c>
    </row>
    <row r="6" customFormat="false" ht="18" hidden="false" customHeight="true" outlineLevel="0" collapsed="false">
      <c r="B6" s="17" t="s">
        <v>193</v>
      </c>
      <c r="C6" s="51" t="n">
        <v>2470</v>
      </c>
      <c r="D6" s="52" t="n">
        <v>65.2</v>
      </c>
      <c r="E6" s="53" t="n">
        <f aca="false">C6/D6</f>
        <v>37.8834355828221</v>
      </c>
      <c r="F6" s="52" t="n">
        <v>74</v>
      </c>
      <c r="G6" s="53" t="n">
        <f aca="false">C6/F6</f>
        <v>33.3783783783784</v>
      </c>
      <c r="H6" s="51" t="n">
        <v>23800</v>
      </c>
    </row>
    <row r="7" customFormat="false" ht="18" hidden="false" customHeight="true" outlineLevel="0" collapsed="false">
      <c r="B7" s="25" t="s">
        <v>194</v>
      </c>
      <c r="C7" s="54" t="n">
        <v>440</v>
      </c>
      <c r="D7" s="55" t="n">
        <v>17.8</v>
      </c>
      <c r="E7" s="56" t="n">
        <f aca="false">C7/D7</f>
        <v>24.7191011235955</v>
      </c>
      <c r="F7" s="55" t="n">
        <v>19.8</v>
      </c>
      <c r="G7" s="56" t="n">
        <f aca="false">C7/F7</f>
        <v>22.2222222222222</v>
      </c>
      <c r="H7" s="54" t="n">
        <v>549000</v>
      </c>
    </row>
    <row r="8" customFormat="false" ht="18" hidden="false" customHeight="true" outlineLevel="0" collapsed="false">
      <c r="B8" s="17" t="s">
        <v>195</v>
      </c>
      <c r="C8" s="51" t="n">
        <v>2240</v>
      </c>
      <c r="D8" s="52" t="n">
        <v>43.5</v>
      </c>
      <c r="E8" s="53" t="n">
        <f aca="false">C8/D8</f>
        <v>51.4942528735632</v>
      </c>
      <c r="F8" s="52" t="n">
        <v>48</v>
      </c>
      <c r="G8" s="53" t="n">
        <f aca="false">C8/F8</f>
        <v>46.6666666666667</v>
      </c>
      <c r="H8" s="51" t="n">
        <v>527000</v>
      </c>
    </row>
    <row r="9" customFormat="false" ht="18" hidden="false" customHeight="true" outlineLevel="0" collapsed="false">
      <c r="B9" s="25" t="s">
        <v>196</v>
      </c>
      <c r="C9" s="54" t="n">
        <v>920</v>
      </c>
      <c r="D9" s="55" t="n">
        <v>16.8</v>
      </c>
      <c r="E9" s="56" t="n">
        <f aca="false">C9/D9</f>
        <v>54.7619047619048</v>
      </c>
      <c r="F9" s="55" t="n">
        <v>20.2</v>
      </c>
      <c r="G9" s="56" t="n">
        <f aca="false">C9/F9</f>
        <v>45.5445544554456</v>
      </c>
      <c r="H9" s="54" t="n">
        <v>92000</v>
      </c>
    </row>
    <row r="10" customFormat="false" ht="18" hidden="false" customHeight="true" outlineLevel="0" collapsed="false">
      <c r="B10" s="17" t="s">
        <v>197</v>
      </c>
      <c r="C10" s="51" t="n">
        <v>620</v>
      </c>
      <c r="D10" s="52" t="n">
        <v>10.2</v>
      </c>
      <c r="E10" s="53" t="n">
        <f aca="false">C10/D10</f>
        <v>60.7843137254902</v>
      </c>
      <c r="F10" s="52" t="n">
        <v>12.8</v>
      </c>
      <c r="G10" s="53" t="n">
        <f aca="false">C10/F10</f>
        <v>48.4375</v>
      </c>
      <c r="H10" s="51" t="n">
        <v>160000</v>
      </c>
    </row>
    <row r="11" customFormat="false" ht="18" hidden="false" customHeight="true" outlineLevel="0" collapsed="false">
      <c r="B11" s="41" t="s">
        <v>198</v>
      </c>
      <c r="E11" s="57" t="n">
        <f aca="false">AVERAGE(E6:E10)</f>
        <v>45.9286016134752</v>
      </c>
    </row>
    <row r="12" customFormat="false" ht="18" hidden="false" customHeight="true" outlineLevel="0" collapsed="false">
      <c r="B12" s="22" t="s">
        <v>199</v>
      </c>
      <c r="C12" s="58" t="n">
        <f aca="false">E11*F5</f>
        <v>5006.21757586879</v>
      </c>
      <c r="D12" s="58"/>
    </row>
    <row r="15" customFormat="false" ht="15" hidden="false" customHeight="true" outlineLevel="0" collapsed="false">
      <c r="B15" s="14" t="s">
        <v>200</v>
      </c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B16" s="13" t="s">
        <v>185</v>
      </c>
      <c r="C16" s="13" t="s">
        <v>201</v>
      </c>
      <c r="D16" s="13" t="s">
        <v>202</v>
      </c>
      <c r="E16" s="13" t="s">
        <v>203</v>
      </c>
      <c r="F16" s="13" t="s">
        <v>204</v>
      </c>
    </row>
    <row r="17" customFormat="false" ht="18" hidden="false" customHeight="true" outlineLevel="0" collapsed="false">
      <c r="B17" s="15" t="s">
        <v>192</v>
      </c>
      <c r="C17" s="48" t="n">
        <v>143832</v>
      </c>
      <c r="D17" s="48" t="n">
        <v>4632</v>
      </c>
      <c r="E17" s="50" t="n">
        <f aca="false">C17/D17</f>
        <v>31.0518134715026</v>
      </c>
    </row>
    <row r="18" customFormat="false" ht="18" hidden="false" customHeight="true" outlineLevel="0" collapsed="false">
      <c r="B18" s="17" t="s">
        <v>193</v>
      </c>
      <c r="C18" s="51" t="n">
        <v>23900</v>
      </c>
      <c r="D18" s="51" t="n">
        <v>1820</v>
      </c>
      <c r="E18" s="53" t="n">
        <f aca="false">C18/D18</f>
        <v>13.1318681318681</v>
      </c>
    </row>
    <row r="19" customFormat="false" ht="18" hidden="false" customHeight="true" outlineLevel="0" collapsed="false">
      <c r="B19" s="25" t="s">
        <v>194</v>
      </c>
      <c r="C19" s="54" t="n">
        <v>545000</v>
      </c>
      <c r="D19" s="54" t="n">
        <v>21000</v>
      </c>
      <c r="E19" s="56" t="n">
        <f aca="false">C19/D19</f>
        <v>25.952380952381</v>
      </c>
    </row>
    <row r="20" customFormat="false" ht="18" hidden="false" customHeight="true" outlineLevel="0" collapsed="false">
      <c r="B20" s="17" t="s">
        <v>195</v>
      </c>
      <c r="C20" s="51" t="n">
        <v>522000</v>
      </c>
      <c r="D20" s="51" t="n">
        <v>14800</v>
      </c>
      <c r="E20" s="53" t="n">
        <f aca="false">C20/D20</f>
        <v>35.2702702702703</v>
      </c>
    </row>
    <row r="21" customFormat="false" ht="18" hidden="false" customHeight="true" outlineLevel="0" collapsed="false">
      <c r="B21" s="25" t="s">
        <v>196</v>
      </c>
      <c r="C21" s="54" t="n">
        <v>91800</v>
      </c>
      <c r="D21" s="54" t="n">
        <v>1650</v>
      </c>
      <c r="E21" s="56" t="n">
        <f aca="false">C21/D21</f>
        <v>55.6363636363636</v>
      </c>
    </row>
    <row r="22" customFormat="false" ht="18" hidden="false" customHeight="true" outlineLevel="0" collapsed="false">
      <c r="B22" s="17" t="s">
        <v>197</v>
      </c>
      <c r="C22" s="51" t="n">
        <v>158900</v>
      </c>
      <c r="D22" s="51" t="n">
        <v>4200</v>
      </c>
      <c r="E22" s="53" t="n">
        <f aca="false">C22/D22</f>
        <v>37.8333333333333</v>
      </c>
    </row>
    <row r="23" customFormat="false" ht="18" hidden="false" customHeight="true" outlineLevel="0" collapsed="false">
      <c r="B23" s="41" t="s">
        <v>205</v>
      </c>
      <c r="E23" s="57" t="n">
        <f aca="false">AVERAGE(E18:E22)</f>
        <v>33.5648432648433</v>
      </c>
    </row>
    <row r="24" customFormat="false" ht="18" hidden="false" customHeight="true" outlineLevel="0" collapsed="false">
      <c r="B24" s="22" t="s">
        <v>206</v>
      </c>
      <c r="C24" s="59" t="n">
        <f aca="false">(E23*D17-750)/24.087</f>
        <v>6423.47963643268</v>
      </c>
    </row>
  </sheetData>
  <mergeCells count="4">
    <mergeCell ref="B1:H1"/>
    <mergeCell ref="B3:H3"/>
    <mergeCell ref="C12:D12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8" min="3" style="1" width="12"/>
  </cols>
  <sheetData>
    <row r="1" customFormat="false" ht="15" hidden="false" customHeight="true" outlineLevel="0" collapsed="false">
      <c r="B1" s="12" t="s">
        <v>207</v>
      </c>
      <c r="C1" s="12"/>
      <c r="D1" s="12"/>
      <c r="E1" s="12"/>
      <c r="F1" s="12"/>
      <c r="G1" s="12"/>
      <c r="H1" s="12"/>
    </row>
    <row r="3" customFormat="false" ht="15" hidden="false" customHeight="true" outlineLevel="0" collapsed="false">
      <c r="B3" s="14" t="s">
        <v>208</v>
      </c>
      <c r="C3" s="14"/>
      <c r="D3" s="14"/>
      <c r="E3" s="14"/>
    </row>
    <row r="4" customFormat="false" ht="18" hidden="false" customHeight="true" outlineLevel="0" collapsed="false">
      <c r="B4" s="30" t="s">
        <v>209</v>
      </c>
      <c r="C4" s="60" t="s">
        <v>210</v>
      </c>
    </row>
    <row r="5" customFormat="false" ht="18" hidden="false" customHeight="true" outlineLevel="0" collapsed="false">
      <c r="B5" s="17" t="s">
        <v>211</v>
      </c>
      <c r="C5" s="28" t="s">
        <v>212</v>
      </c>
    </row>
    <row r="6" customFormat="false" ht="18" hidden="false" customHeight="true" outlineLevel="0" collapsed="false">
      <c r="B6" s="30" t="s">
        <v>213</v>
      </c>
      <c r="C6" s="60" t="s">
        <v>214</v>
      </c>
    </row>
    <row r="7" customFormat="false" ht="18" hidden="false" customHeight="true" outlineLevel="0" collapsed="false">
      <c r="B7" s="17" t="s">
        <v>215</v>
      </c>
      <c r="C7" s="28" t="s">
        <v>169</v>
      </c>
    </row>
    <row r="8" customFormat="false" ht="18" hidden="false" customHeight="true" outlineLevel="0" collapsed="false">
      <c r="B8" s="30" t="s">
        <v>216</v>
      </c>
      <c r="C8" s="60" t="s">
        <v>217</v>
      </c>
    </row>
    <row r="11" customFormat="false" ht="15" hidden="false" customHeight="true" outlineLevel="0" collapsed="false">
      <c r="B11" s="14" t="s">
        <v>218</v>
      </c>
      <c r="C11" s="14"/>
      <c r="D11" s="14"/>
      <c r="E11" s="14"/>
      <c r="F11" s="14"/>
      <c r="G11" s="14"/>
      <c r="H11" s="14"/>
    </row>
    <row r="12" customFormat="false" ht="15" hidden="false" customHeight="true" outlineLevel="0" collapsed="false">
      <c r="B12" s="13" t="s">
        <v>219</v>
      </c>
      <c r="C12" s="13" t="s">
        <v>220</v>
      </c>
      <c r="D12" s="13" t="s">
        <v>221</v>
      </c>
      <c r="E12" s="13" t="s">
        <v>222</v>
      </c>
      <c r="F12" s="13" t="s">
        <v>165</v>
      </c>
      <c r="G12" s="13" t="s">
        <v>223</v>
      </c>
    </row>
    <row r="13" customFormat="false" ht="18" hidden="false" customHeight="true" outlineLevel="0" collapsed="false">
      <c r="B13" s="25" t="s">
        <v>135</v>
      </c>
      <c r="C13" s="61" t="n">
        <v>1</v>
      </c>
      <c r="D13" s="62" t="n">
        <f aca="false">C9*(1+C5)^1</f>
        <v>0</v>
      </c>
      <c r="E13" s="63" t="str">
        <f aca="false">C5</f>
        <v>12.0%</v>
      </c>
      <c r="F13" s="39" t="n">
        <f aca="false">1/(1+$C$4)^C13</f>
        <v>0.90892564988184</v>
      </c>
      <c r="G13" s="62" t="n">
        <f aca="false">D13*F13</f>
        <v>0</v>
      </c>
    </row>
    <row r="14" customFormat="false" ht="18" hidden="false" customHeight="true" outlineLevel="0" collapsed="false">
      <c r="B14" s="17" t="s">
        <v>136</v>
      </c>
      <c r="C14" s="64" t="n">
        <v>2</v>
      </c>
      <c r="D14" s="65" t="n">
        <f aca="false">C9*(1+C5)^2</f>
        <v>0</v>
      </c>
      <c r="E14" s="66" t="str">
        <f aca="false">C5</f>
        <v>12.0%</v>
      </c>
      <c r="F14" s="67" t="n">
        <f aca="false">1/(1+$C$4)^C14</f>
        <v>0.826145837013125</v>
      </c>
      <c r="G14" s="65" t="n">
        <f aca="false">D14*F14</f>
        <v>0</v>
      </c>
    </row>
    <row r="15" customFormat="false" ht="18" hidden="false" customHeight="true" outlineLevel="0" collapsed="false">
      <c r="B15" s="25" t="s">
        <v>137</v>
      </c>
      <c r="C15" s="61" t="n">
        <v>3</v>
      </c>
      <c r="D15" s="62" t="n">
        <f aca="false">C9*(1+C5)^3</f>
        <v>0</v>
      </c>
      <c r="E15" s="63" t="str">
        <f aca="false">C5</f>
        <v>12.0%</v>
      </c>
      <c r="F15" s="39" t="n">
        <f aca="false">1/(1+$C$4)^C15</f>
        <v>0.750905141804331</v>
      </c>
      <c r="G15" s="62" t="n">
        <f aca="false">D15*F15</f>
        <v>0</v>
      </c>
    </row>
    <row r="16" customFormat="false" ht="18" hidden="false" customHeight="true" outlineLevel="0" collapsed="false">
      <c r="B16" s="17" t="s">
        <v>138</v>
      </c>
      <c r="C16" s="64" t="n">
        <v>4</v>
      </c>
      <c r="D16" s="65" t="n">
        <f aca="false">C9*(1+C5)^4</f>
        <v>0</v>
      </c>
      <c r="E16" s="66" t="str">
        <f aca="false">C5</f>
        <v>12.0%</v>
      </c>
      <c r="F16" s="67" t="n">
        <f aca="false">1/(1+$C$4)^C16</f>
        <v>0.682516944014116</v>
      </c>
      <c r="G16" s="65" t="n">
        <f aca="false">D16*F16</f>
        <v>0</v>
      </c>
    </row>
    <row r="17" customFormat="false" ht="18" hidden="false" customHeight="true" outlineLevel="0" collapsed="false">
      <c r="B17" s="25" t="s">
        <v>139</v>
      </c>
      <c r="C17" s="61" t="n">
        <v>5</v>
      </c>
      <c r="D17" s="62" t="n">
        <f aca="false">C9*(1+C5)^5</f>
        <v>0</v>
      </c>
      <c r="E17" s="63" t="str">
        <f aca="false">C5</f>
        <v>12.0%</v>
      </c>
      <c r="F17" s="39" t="n">
        <f aca="false">1/(1+$C$4)^C17</f>
        <v>0.620357156893398</v>
      </c>
      <c r="G17" s="62" t="n">
        <f aca="false">D17*F17</f>
        <v>0</v>
      </c>
    </row>
    <row r="18" customFormat="false" ht="18" hidden="false" customHeight="true" outlineLevel="0" collapsed="false">
      <c r="B18" s="17" t="s">
        <v>140</v>
      </c>
      <c r="C18" s="64" t="n">
        <v>6</v>
      </c>
      <c r="D18" s="65" t="n">
        <f aca="false">C9*(1+C5)^5*(1+C6)^1</f>
        <v>0</v>
      </c>
      <c r="E18" s="66" t="str">
        <f aca="false">C6</f>
        <v>8.0%</v>
      </c>
      <c r="F18" s="67" t="n">
        <f aca="false">1/(1+$C$4)^C18</f>
        <v>0.563858531988182</v>
      </c>
      <c r="G18" s="65" t="n">
        <f aca="false">D18*F18</f>
        <v>0</v>
      </c>
    </row>
    <row r="19" customFormat="false" ht="18" hidden="false" customHeight="true" outlineLevel="0" collapsed="false">
      <c r="B19" s="25" t="s">
        <v>141</v>
      </c>
      <c r="C19" s="61" t="n">
        <v>7</v>
      </c>
      <c r="D19" s="62" t="n">
        <f aca="false">C9*(1+C5)^5*(1+C6)^2</f>
        <v>0</v>
      </c>
      <c r="E19" s="63" t="str">
        <f aca="false">C6</f>
        <v>8.0%</v>
      </c>
      <c r="F19" s="39" t="n">
        <f aca="false">1/(1+$C$4)^C19</f>
        <v>0.512505482628778</v>
      </c>
      <c r="G19" s="62" t="n">
        <f aca="false">D19*F19</f>
        <v>0</v>
      </c>
    </row>
    <row r="20" customFormat="false" ht="18" hidden="false" customHeight="true" outlineLevel="0" collapsed="false">
      <c r="B20" s="17" t="s">
        <v>142</v>
      </c>
      <c r="C20" s="64" t="n">
        <v>8</v>
      </c>
      <c r="D20" s="65" t="n">
        <f aca="false">C9*(1+C5)^5*(1+C6)^3</f>
        <v>0</v>
      </c>
      <c r="E20" s="66" t="str">
        <f aca="false">C6</f>
        <v>8.0%</v>
      </c>
      <c r="F20" s="67" t="n">
        <f aca="false">1/(1+$C$4)^C20</f>
        <v>0.465829378866368</v>
      </c>
      <c r="G20" s="65" t="n">
        <f aca="false">D20*F20</f>
        <v>0</v>
      </c>
    </row>
    <row r="21" customFormat="false" ht="18" hidden="false" customHeight="true" outlineLevel="0" collapsed="false">
      <c r="B21" s="25" t="s">
        <v>143</v>
      </c>
      <c r="C21" s="61" t="n">
        <v>9</v>
      </c>
      <c r="D21" s="62" t="n">
        <f aca="false">C9*(1+C5)^5*(1+C6)^4</f>
        <v>0</v>
      </c>
      <c r="E21" s="63" t="str">
        <f aca="false">C6</f>
        <v>8.0%</v>
      </c>
      <c r="F21" s="39" t="n">
        <f aca="false">1/(1+$C$4)^C21</f>
        <v>0.423404270920167</v>
      </c>
      <c r="G21" s="62" t="n">
        <f aca="false">D21*F21</f>
        <v>0</v>
      </c>
    </row>
    <row r="22" customFormat="false" ht="18" hidden="false" customHeight="true" outlineLevel="0" collapsed="false">
      <c r="B22" s="17" t="s">
        <v>144</v>
      </c>
      <c r="C22" s="64" t="n">
        <v>10</v>
      </c>
      <c r="D22" s="65" t="n">
        <f aca="false">C9*(1+C5)^5*(1+C6)^5</f>
        <v>0</v>
      </c>
      <c r="E22" s="66" t="str">
        <f aca="false">C6</f>
        <v>8.0%</v>
      </c>
      <c r="F22" s="67" t="n">
        <f aca="false">1/(1+$C$4)^C22</f>
        <v>0.384843002108859</v>
      </c>
      <c r="G22" s="65" t="n">
        <f aca="false">D22*F22</f>
        <v>0</v>
      </c>
    </row>
    <row r="23" customFormat="false" ht="19.5" hidden="false" customHeight="true" outlineLevel="0" collapsed="false">
      <c r="B23" s="15" t="s">
        <v>224</v>
      </c>
      <c r="G23" s="68" t="n">
        <f aca="false">SUM(G13:G22)</f>
        <v>0</v>
      </c>
    </row>
    <row r="24" customFormat="false" ht="19.5" hidden="false" customHeight="true" outlineLevel="0" collapsed="false">
      <c r="B24" s="25" t="s">
        <v>225</v>
      </c>
      <c r="D24" s="62" t="n">
        <f aca="false">D22*(1+C7)</f>
        <v>0</v>
      </c>
    </row>
    <row r="25" customFormat="false" ht="19.5" hidden="false" customHeight="true" outlineLevel="0" collapsed="false">
      <c r="B25" s="41" t="s">
        <v>226</v>
      </c>
      <c r="D25" s="69" t="n">
        <f aca="false">D24/($C$4-$C$7)</f>
        <v>0</v>
      </c>
    </row>
    <row r="26" customFormat="false" ht="19.5" hidden="false" customHeight="true" outlineLevel="0" collapsed="false">
      <c r="B26" s="41" t="s">
        <v>172</v>
      </c>
      <c r="D26" s="69" t="n">
        <f aca="false">D25/(1+C4)^10</f>
        <v>0</v>
      </c>
    </row>
    <row r="27" customFormat="false" ht="21.75" hidden="false" customHeight="true" outlineLevel="0" collapsed="false">
      <c r="B27" s="70" t="s">
        <v>227</v>
      </c>
      <c r="D27" s="71" t="n">
        <f aca="false">G23+D26</f>
        <v>0</v>
      </c>
    </row>
  </sheetData>
  <mergeCells count="3">
    <mergeCell ref="B1:H1"/>
    <mergeCell ref="B3:E3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9" min="3" style="1" width="13"/>
  </cols>
  <sheetData>
    <row r="1" customFormat="false" ht="15" hidden="false" customHeight="true" outlineLevel="0" collapsed="false">
      <c r="B1" s="12" t="s">
        <v>228</v>
      </c>
      <c r="C1" s="12"/>
      <c r="D1" s="12"/>
      <c r="E1" s="12"/>
      <c r="F1" s="12"/>
      <c r="G1" s="12"/>
      <c r="H1" s="12"/>
      <c r="I1" s="12"/>
    </row>
    <row r="3" customFormat="false" ht="15" hidden="false" customHeight="true" outlineLevel="0" collapsed="false">
      <c r="B3" s="14" t="s">
        <v>229</v>
      </c>
      <c r="C3" s="14"/>
      <c r="D3" s="14"/>
      <c r="E3" s="14"/>
      <c r="F3" s="14"/>
      <c r="G3" s="14"/>
      <c r="H3" s="14"/>
      <c r="I3" s="14"/>
    </row>
    <row r="4" customFormat="false" ht="21.75" hidden="false" customHeight="true" outlineLevel="0" collapsed="false">
      <c r="B4" s="72" t="s">
        <v>230</v>
      </c>
      <c r="C4" s="38" t="s">
        <v>231</v>
      </c>
      <c r="D4" s="38" t="s">
        <v>232</v>
      </c>
      <c r="E4" s="38" t="s">
        <v>233</v>
      </c>
      <c r="F4" s="73" t="s">
        <v>234</v>
      </c>
      <c r="G4" s="38" t="s">
        <v>235</v>
      </c>
      <c r="H4" s="38" t="s">
        <v>236</v>
      </c>
      <c r="I4" s="38" t="s">
        <v>237</v>
      </c>
    </row>
    <row r="5" customFormat="false" ht="19.5" hidden="false" customHeight="true" outlineLevel="0" collapsed="false">
      <c r="B5" s="74" t="s">
        <v>238</v>
      </c>
      <c r="C5" s="75" t="n">
        <v>339165</v>
      </c>
      <c r="D5" s="75" t="n">
        <v>302487</v>
      </c>
      <c r="E5" s="75" t="n">
        <v>272552</v>
      </c>
      <c r="F5" s="75" t="n">
        <v>246764</v>
      </c>
      <c r="G5" s="75" t="n">
        <v>226677</v>
      </c>
      <c r="H5" s="75" t="n">
        <v>208732</v>
      </c>
      <c r="I5" s="75" t="n">
        <v>193227</v>
      </c>
    </row>
    <row r="6" customFormat="false" ht="19.5" hidden="false" customHeight="true" outlineLevel="0" collapsed="false">
      <c r="B6" s="74" t="s">
        <v>239</v>
      </c>
      <c r="C6" s="75" t="n">
        <v>411673</v>
      </c>
      <c r="D6" s="75" t="n">
        <v>357273</v>
      </c>
      <c r="E6" s="75" t="n">
        <v>315037</v>
      </c>
      <c r="F6" s="75" t="n">
        <v>280106</v>
      </c>
      <c r="G6" s="75" t="n">
        <v>253778</v>
      </c>
      <c r="H6" s="75" t="n">
        <v>230883</v>
      </c>
      <c r="I6" s="75" t="n">
        <v>211554</v>
      </c>
    </row>
    <row r="7" customFormat="false" ht="19.5" hidden="false" customHeight="true" outlineLevel="0" collapsed="false">
      <c r="B7" s="74" t="s">
        <v>240</v>
      </c>
      <c r="C7" s="75" t="n">
        <v>466055</v>
      </c>
      <c r="D7" s="75" t="n">
        <v>396406</v>
      </c>
      <c r="E7" s="75" t="n">
        <v>344245</v>
      </c>
      <c r="F7" s="75" t="n">
        <v>302309</v>
      </c>
      <c r="G7" s="75" t="n">
        <v>271395</v>
      </c>
      <c r="H7" s="75" t="n">
        <v>244978</v>
      </c>
      <c r="I7" s="75" t="n">
        <v>223008</v>
      </c>
    </row>
    <row r="8" customFormat="false" ht="19.5" hidden="false" customHeight="true" outlineLevel="0" collapsed="false">
      <c r="B8" s="76" t="s">
        <v>169</v>
      </c>
      <c r="C8" s="75" t="n">
        <v>542188</v>
      </c>
      <c r="D8" s="75" t="n">
        <v>448583</v>
      </c>
      <c r="E8" s="75" t="n">
        <v>381799</v>
      </c>
      <c r="F8" s="77" t="n">
        <v>330036</v>
      </c>
      <c r="G8" s="75" t="n">
        <v>292926</v>
      </c>
      <c r="H8" s="75" t="n">
        <v>261893</v>
      </c>
      <c r="I8" s="75" t="n">
        <v>236545</v>
      </c>
    </row>
    <row r="9" customFormat="false" ht="19.5" hidden="false" customHeight="true" outlineLevel="0" collapsed="false">
      <c r="B9" s="74" t="s">
        <v>241</v>
      </c>
      <c r="C9" s="75" t="n">
        <v>656389</v>
      </c>
      <c r="D9" s="75" t="n">
        <v>521630</v>
      </c>
      <c r="E9" s="75" t="n">
        <v>431870</v>
      </c>
      <c r="F9" s="75" t="n">
        <v>365639</v>
      </c>
      <c r="G9" s="75" t="n">
        <v>319839</v>
      </c>
      <c r="H9" s="75" t="n">
        <v>282567</v>
      </c>
      <c r="I9" s="75" t="n">
        <v>252789</v>
      </c>
    </row>
    <row r="10" customFormat="false" ht="19.5" hidden="false" customHeight="true" outlineLevel="0" collapsed="false">
      <c r="B10" s="74" t="s">
        <v>242</v>
      </c>
      <c r="C10" s="75" t="n">
        <v>846724</v>
      </c>
      <c r="D10" s="75" t="n">
        <v>631202</v>
      </c>
      <c r="E10" s="75" t="n">
        <v>501970</v>
      </c>
      <c r="F10" s="75" t="n">
        <v>413032</v>
      </c>
      <c r="G10" s="75" t="n">
        <v>354443</v>
      </c>
      <c r="H10" s="75" t="n">
        <v>308409</v>
      </c>
      <c r="I10" s="75" t="n">
        <v>272643</v>
      </c>
    </row>
    <row r="11" customFormat="false" ht="19.5" hidden="false" customHeight="true" outlineLevel="0" collapsed="false">
      <c r="B11" s="74" t="s">
        <v>243</v>
      </c>
      <c r="C11" s="75" t="n">
        <v>1227393</v>
      </c>
      <c r="D11" s="75" t="n">
        <v>813821</v>
      </c>
      <c r="E11" s="75" t="n">
        <v>607120</v>
      </c>
      <c r="F11" s="75" t="n">
        <v>479231</v>
      </c>
      <c r="G11" s="75" t="n">
        <v>400580</v>
      </c>
      <c r="H11" s="75" t="n">
        <v>341634</v>
      </c>
      <c r="I11" s="75" t="n">
        <v>297461</v>
      </c>
    </row>
    <row r="14" customFormat="false" ht="15" hidden="false" customHeight="true" outlineLevel="0" collapsed="false">
      <c r="B14" s="78" t="s">
        <v>244</v>
      </c>
      <c r="C14" s="78"/>
      <c r="D14" s="78"/>
      <c r="E14" s="78"/>
      <c r="F14" s="78"/>
      <c r="G14" s="78"/>
      <c r="H14" s="78"/>
      <c r="I14" s="78"/>
    </row>
    <row r="15" customFormat="false" ht="18" hidden="false" customHeight="true" outlineLevel="0" collapsed="false">
      <c r="B15" s="79"/>
      <c r="C15" s="80" t="s">
        <v>245</v>
      </c>
      <c r="D15" s="80"/>
      <c r="E15" s="80"/>
      <c r="F15" s="80"/>
      <c r="G15" s="80"/>
      <c r="H15" s="80"/>
      <c r="I15" s="80"/>
    </row>
    <row r="16" customFormat="false" ht="18" hidden="false" customHeight="true" outlineLevel="0" collapsed="false">
      <c r="B16" s="81"/>
      <c r="C16" s="80" t="s">
        <v>246</v>
      </c>
      <c r="D16" s="80"/>
      <c r="E16" s="80"/>
      <c r="F16" s="80"/>
      <c r="G16" s="80"/>
      <c r="H16" s="80"/>
      <c r="I16" s="80"/>
    </row>
    <row r="17" customFormat="false" ht="18" hidden="false" customHeight="true" outlineLevel="0" collapsed="false">
      <c r="B17" s="82"/>
      <c r="C17" s="80" t="s">
        <v>247</v>
      </c>
      <c r="D17" s="80"/>
      <c r="E17" s="80"/>
      <c r="F17" s="80"/>
      <c r="G17" s="80"/>
      <c r="H17" s="80"/>
      <c r="I17" s="80"/>
    </row>
    <row r="18" customFormat="false" ht="18" hidden="false" customHeight="true" outlineLevel="0" collapsed="false">
      <c r="B18" s="83"/>
      <c r="C18" s="80" t="s">
        <v>248</v>
      </c>
      <c r="D18" s="80"/>
      <c r="E18" s="80"/>
      <c r="F18" s="80"/>
      <c r="G18" s="80"/>
      <c r="H18" s="80"/>
      <c r="I18" s="80"/>
    </row>
    <row r="21" customFormat="false" ht="15" hidden="false" customHeight="true" outlineLevel="0" collapsed="false">
      <c r="B21" s="14" t="s">
        <v>249</v>
      </c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B22" s="72" t="s">
        <v>250</v>
      </c>
      <c r="C22" s="38" t="s">
        <v>231</v>
      </c>
      <c r="D22" s="38" t="s">
        <v>232</v>
      </c>
      <c r="E22" s="38" t="s">
        <v>233</v>
      </c>
      <c r="F22" s="73" t="s">
        <v>234</v>
      </c>
      <c r="G22" s="38" t="s">
        <v>235</v>
      </c>
      <c r="H22" s="38" t="s">
        <v>236</v>
      </c>
      <c r="I22" s="38" t="s">
        <v>237</v>
      </c>
    </row>
    <row r="23" customFormat="false" ht="19.5" hidden="false" customHeight="true" outlineLevel="0" collapsed="false">
      <c r="B23" s="74" t="s">
        <v>149</v>
      </c>
      <c r="C23" s="75" t="n">
        <v>372875</v>
      </c>
      <c r="D23" s="75" t="n">
        <v>310421</v>
      </c>
      <c r="E23" s="75" t="n">
        <v>265805</v>
      </c>
      <c r="F23" s="75" t="n">
        <v>231172</v>
      </c>
      <c r="G23" s="75" t="n">
        <v>206304</v>
      </c>
      <c r="H23" s="75" t="n">
        <v>185473</v>
      </c>
      <c r="I23" s="75" t="n">
        <v>168426</v>
      </c>
    </row>
    <row r="24" customFormat="false" ht="19.5" hidden="false" customHeight="true" outlineLevel="0" collapsed="false">
      <c r="B24" s="74" t="s">
        <v>148</v>
      </c>
      <c r="C24" s="75" t="n">
        <v>399375</v>
      </c>
      <c r="D24" s="75" t="n">
        <v>332073</v>
      </c>
      <c r="E24" s="75" t="n">
        <v>284006</v>
      </c>
      <c r="F24" s="75" t="n">
        <v>246706</v>
      </c>
      <c r="G24" s="75" t="n">
        <v>219931</v>
      </c>
      <c r="H24" s="75" t="n">
        <v>197510</v>
      </c>
      <c r="I24" s="75" t="n">
        <v>179169</v>
      </c>
    </row>
    <row r="25" customFormat="false" ht="19.5" hidden="false" customHeight="true" outlineLevel="0" collapsed="false">
      <c r="B25" s="74" t="s">
        <v>147</v>
      </c>
      <c r="C25" s="75" t="n">
        <v>427650</v>
      </c>
      <c r="D25" s="75" t="n">
        <v>355162</v>
      </c>
      <c r="E25" s="75" t="n">
        <v>303405</v>
      </c>
      <c r="F25" s="75" t="n">
        <v>263252</v>
      </c>
      <c r="G25" s="75" t="n">
        <v>234438</v>
      </c>
      <c r="H25" s="75" t="n">
        <v>210318</v>
      </c>
      <c r="I25" s="75" t="n">
        <v>190594</v>
      </c>
    </row>
    <row r="26" customFormat="false" ht="19.5" hidden="false" customHeight="true" outlineLevel="0" collapsed="false">
      <c r="B26" s="76" t="s">
        <v>146</v>
      </c>
      <c r="C26" s="75" t="n">
        <v>457806</v>
      </c>
      <c r="D26" s="75" t="n">
        <v>379775</v>
      </c>
      <c r="E26" s="75" t="n">
        <v>324072</v>
      </c>
      <c r="F26" s="77" t="n">
        <v>280871</v>
      </c>
      <c r="G26" s="75" t="n">
        <v>249878</v>
      </c>
      <c r="H26" s="75" t="n">
        <v>223942</v>
      </c>
      <c r="I26" s="75" t="n">
        <v>202740</v>
      </c>
    </row>
    <row r="27" customFormat="false" ht="19.5" hidden="false" customHeight="true" outlineLevel="0" collapsed="false">
      <c r="B27" s="74" t="s">
        <v>251</v>
      </c>
      <c r="C27" s="75" t="n">
        <v>489958</v>
      </c>
      <c r="D27" s="75" t="n">
        <v>406003</v>
      </c>
      <c r="E27" s="75" t="n">
        <v>346085</v>
      </c>
      <c r="F27" s="75" t="n">
        <v>299626</v>
      </c>
      <c r="G27" s="75" t="n">
        <v>266305</v>
      </c>
      <c r="H27" s="75" t="n">
        <v>238430</v>
      </c>
      <c r="I27" s="75" t="n">
        <v>215650</v>
      </c>
    </row>
    <row r="28" customFormat="false" ht="19.5" hidden="false" customHeight="true" outlineLevel="0" collapsed="false">
      <c r="B28" s="74" t="s">
        <v>252</v>
      </c>
      <c r="C28" s="75" t="n">
        <v>524224</v>
      </c>
      <c r="D28" s="75" t="n">
        <v>433941</v>
      </c>
      <c r="E28" s="75" t="n">
        <v>369521</v>
      </c>
      <c r="F28" s="75" t="n">
        <v>319584</v>
      </c>
      <c r="G28" s="75" t="n">
        <v>283778</v>
      </c>
      <c r="H28" s="75" t="n">
        <v>253832</v>
      </c>
      <c r="I28" s="75" t="n">
        <v>229368</v>
      </c>
    </row>
    <row r="29" customFormat="false" ht="19.5" hidden="false" customHeight="true" outlineLevel="0" collapsed="false">
      <c r="B29" s="74" t="s">
        <v>253</v>
      </c>
      <c r="C29" s="75" t="n">
        <v>560729</v>
      </c>
      <c r="D29" s="75" t="n">
        <v>463690</v>
      </c>
      <c r="E29" s="75" t="n">
        <v>394465</v>
      </c>
      <c r="F29" s="75" t="n">
        <v>340815</v>
      </c>
      <c r="G29" s="75" t="n">
        <v>302358</v>
      </c>
      <c r="H29" s="75" t="n">
        <v>270203</v>
      </c>
      <c r="I29" s="75" t="n">
        <v>243941</v>
      </c>
    </row>
  </sheetData>
  <mergeCells count="8">
    <mergeCell ref="B1:I1"/>
    <mergeCell ref="B3:I3"/>
    <mergeCell ref="B14:I14"/>
    <mergeCell ref="C15:I15"/>
    <mergeCell ref="C16:I16"/>
    <mergeCell ref="C17:I17"/>
    <mergeCell ref="C18:I18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6" min="3" style="1" width="16"/>
  </cols>
  <sheetData>
    <row r="1" customFormat="false" ht="15" hidden="false" customHeight="true" outlineLevel="0" collapsed="false">
      <c r="B1" s="12" t="s">
        <v>254</v>
      </c>
      <c r="C1" s="12"/>
      <c r="D1" s="12"/>
      <c r="E1" s="12"/>
      <c r="F1" s="12"/>
    </row>
    <row r="3" customFormat="false" ht="15" hidden="false" customHeight="true" outlineLevel="0" collapsed="false">
      <c r="B3" s="14" t="s">
        <v>255</v>
      </c>
      <c r="C3" s="14"/>
      <c r="D3" s="14"/>
      <c r="E3" s="14"/>
      <c r="F3" s="14"/>
    </row>
    <row r="4" customFormat="false" ht="15" hidden="false" customHeight="true" outlineLevel="0" collapsed="false">
      <c r="B4" s="13" t="s">
        <v>256</v>
      </c>
      <c r="C4" s="13" t="s">
        <v>257</v>
      </c>
      <c r="D4" s="13" t="s">
        <v>258</v>
      </c>
      <c r="E4" s="13" t="s">
        <v>259</v>
      </c>
      <c r="F4" s="13" t="s">
        <v>260</v>
      </c>
    </row>
    <row r="5" customFormat="false" ht="21.75" hidden="false" customHeight="true" outlineLevel="0" collapsed="false">
      <c r="B5" s="20" t="s">
        <v>25</v>
      </c>
      <c r="C5" s="84" t="n">
        <v>4200</v>
      </c>
      <c r="D5" s="85" t="n">
        <v>5540</v>
      </c>
      <c r="E5" s="86" t="n">
        <v>7100</v>
      </c>
      <c r="F5" s="87" t="s">
        <v>261</v>
      </c>
    </row>
    <row r="6" customFormat="false" ht="21.75" hidden="false" customHeight="true" outlineLevel="0" collapsed="false">
      <c r="B6" s="34" t="s">
        <v>262</v>
      </c>
      <c r="C6" s="84" t="n">
        <v>4500</v>
      </c>
      <c r="D6" s="85" t="n">
        <v>5120</v>
      </c>
      <c r="E6" s="86" t="n">
        <v>6200</v>
      </c>
      <c r="F6" s="88" t="s">
        <v>263</v>
      </c>
    </row>
    <row r="7" customFormat="false" ht="21.75" hidden="false" customHeight="true" outlineLevel="0" collapsed="false">
      <c r="B7" s="20" t="s">
        <v>264</v>
      </c>
      <c r="C7" s="84" t="n">
        <v>4800</v>
      </c>
      <c r="D7" s="85" t="n">
        <v>5350</v>
      </c>
      <c r="E7" s="86" t="n">
        <v>6500</v>
      </c>
      <c r="F7" s="87" t="s">
        <v>265</v>
      </c>
    </row>
    <row r="8" customFormat="false" ht="21.75" hidden="false" customHeight="true" outlineLevel="0" collapsed="false">
      <c r="B8" s="34" t="s">
        <v>30</v>
      </c>
      <c r="C8" s="84" t="n">
        <v>4100</v>
      </c>
      <c r="D8" s="85" t="n">
        <v>5200</v>
      </c>
      <c r="E8" s="86" t="n">
        <v>6800</v>
      </c>
      <c r="F8" s="88" t="s">
        <v>146</v>
      </c>
    </row>
    <row r="9" customFormat="false" ht="21.75" hidden="false" customHeight="true" outlineLevel="0" collapsed="false">
      <c r="B9" s="89" t="s">
        <v>266</v>
      </c>
      <c r="C9" s="90" t="n">
        <f aca="false">C5*0.4+C6*0.3+C7*0.2+C8*0.1</f>
        <v>4400</v>
      </c>
      <c r="D9" s="91" t="n">
        <f aca="false">D5*0.4+D6*0.3+D7*0.2+D8*0.1</f>
        <v>5342</v>
      </c>
      <c r="E9" s="92" t="n">
        <f aca="false">E5*0.4+E6*0.3+E7*0.2+E8*0.1</f>
        <v>6680</v>
      </c>
      <c r="F9" s="93" t="s">
        <v>267</v>
      </c>
    </row>
    <row r="11" customFormat="false" ht="21.75" hidden="false" customHeight="true" outlineLevel="0" collapsed="false">
      <c r="B11" s="94" t="s">
        <v>5</v>
      </c>
      <c r="C11" s="95" t="n">
        <v>5961</v>
      </c>
      <c r="D11" s="95"/>
      <c r="E11" s="95"/>
    </row>
    <row r="12" customFormat="false" ht="21.75" hidden="false" customHeight="true" outlineLevel="0" collapsed="false">
      <c r="B12" s="94" t="s">
        <v>268</v>
      </c>
      <c r="C12" s="96" t="n">
        <f aca="false">(D9-C11)/C11</f>
        <v>-0.103841637309176</v>
      </c>
      <c r="D12" s="96"/>
      <c r="E12" s="96"/>
    </row>
    <row r="14" customFormat="false" ht="21.75" hidden="false" customHeight="true" outlineLevel="0" collapsed="false">
      <c r="B14" s="97" t="s">
        <v>269</v>
      </c>
      <c r="C14" s="97"/>
      <c r="D14" s="97"/>
      <c r="E14" s="97"/>
      <c r="F14" s="97"/>
    </row>
    <row r="15" customFormat="false" ht="21.75" hidden="false" customHeight="true" outlineLevel="0" collapsed="false">
      <c r="B15" s="98" t="s">
        <v>270</v>
      </c>
      <c r="C15" s="99" t="s">
        <v>271</v>
      </c>
      <c r="D15" s="99"/>
      <c r="E15" s="99"/>
      <c r="F15" s="99"/>
    </row>
    <row r="16" customFormat="false" ht="19.5" hidden="false" customHeight="true" outlineLevel="0" collapsed="false">
      <c r="B16" s="34" t="s">
        <v>272</v>
      </c>
      <c r="C16" s="9" t="s">
        <v>273</v>
      </c>
      <c r="D16" s="9"/>
      <c r="E16" s="9"/>
      <c r="F16" s="9"/>
    </row>
    <row r="17" customFormat="false" ht="19.5" hidden="false" customHeight="true" outlineLevel="0" collapsed="false">
      <c r="B17" s="34" t="s">
        <v>274</v>
      </c>
      <c r="C17" s="9" t="s">
        <v>275</v>
      </c>
      <c r="D17" s="9"/>
      <c r="E17" s="9"/>
      <c r="F17" s="9"/>
    </row>
    <row r="18" customFormat="false" ht="19.5" hidden="false" customHeight="true" outlineLevel="0" collapsed="false">
      <c r="B18" s="34" t="s">
        <v>276</v>
      </c>
      <c r="C18" s="9" t="s">
        <v>277</v>
      </c>
      <c r="D18" s="9"/>
      <c r="E18" s="9"/>
      <c r="F18" s="9"/>
    </row>
    <row r="19" customFormat="false" ht="19.5" hidden="false" customHeight="true" outlineLevel="0" collapsed="false">
      <c r="B19" s="34" t="s">
        <v>278</v>
      </c>
      <c r="C19" s="9" t="s">
        <v>279</v>
      </c>
      <c r="D19" s="9"/>
      <c r="E19" s="9"/>
      <c r="F19" s="9"/>
    </row>
    <row r="20" customFormat="false" ht="19.5" hidden="false" customHeight="true" outlineLevel="0" collapsed="false">
      <c r="B20" s="34" t="s">
        <v>280</v>
      </c>
      <c r="C20" s="9" t="s">
        <v>281</v>
      </c>
      <c r="D20" s="9"/>
      <c r="E20" s="9"/>
      <c r="F20" s="9"/>
    </row>
    <row r="21" customFormat="false" ht="19.5" hidden="false" customHeight="true" outlineLevel="0" collapsed="false">
      <c r="B21" s="34" t="s">
        <v>282</v>
      </c>
      <c r="C21" s="9" t="s">
        <v>283</v>
      </c>
      <c r="D21" s="9"/>
      <c r="E21" s="9"/>
      <c r="F21" s="9"/>
    </row>
    <row r="23" customFormat="false" ht="15" hidden="false" customHeight="true" outlineLevel="0" collapsed="false">
      <c r="B23" s="100" t="s">
        <v>284</v>
      </c>
      <c r="C23" s="100"/>
      <c r="D23" s="100"/>
      <c r="E23" s="100"/>
      <c r="F23" s="100"/>
    </row>
    <row r="24" customFormat="false" ht="21.75" hidden="false" customHeight="true" outlineLevel="0" collapsed="false">
      <c r="B24" s="101" t="s">
        <v>285</v>
      </c>
      <c r="C24" s="102" t="s">
        <v>286</v>
      </c>
      <c r="D24" s="102"/>
      <c r="E24" s="102"/>
      <c r="F24" s="102"/>
    </row>
    <row r="25" customFormat="false" ht="21.75" hidden="false" customHeight="true" outlineLevel="0" collapsed="false">
      <c r="B25" s="22" t="s">
        <v>287</v>
      </c>
      <c r="C25" s="103" t="s">
        <v>288</v>
      </c>
      <c r="D25" s="103"/>
      <c r="E25" s="103"/>
      <c r="F25" s="103"/>
    </row>
    <row r="26" customFormat="false" ht="21.75" hidden="false" customHeight="true" outlineLevel="0" collapsed="false">
      <c r="B26" s="15" t="s">
        <v>289</v>
      </c>
      <c r="C26" s="104" t="s">
        <v>290</v>
      </c>
      <c r="D26" s="104"/>
      <c r="E26" s="104"/>
      <c r="F26" s="104"/>
    </row>
    <row r="28" customFormat="false" ht="24" hidden="false" customHeight="true" outlineLevel="0" collapsed="false">
      <c r="B28" s="11" t="s">
        <v>291</v>
      </c>
      <c r="C28" s="11"/>
      <c r="D28" s="11"/>
      <c r="E28" s="11"/>
      <c r="F28" s="11"/>
    </row>
  </sheetData>
  <mergeCells count="17">
    <mergeCell ref="B1:F1"/>
    <mergeCell ref="B3:F3"/>
    <mergeCell ref="C11:E11"/>
    <mergeCell ref="C12:E12"/>
    <mergeCell ref="B14:F14"/>
    <mergeCell ref="C15:F15"/>
    <mergeCell ref="C16:F16"/>
    <mergeCell ref="C17:F17"/>
    <mergeCell ref="C18:F18"/>
    <mergeCell ref="C19:F19"/>
    <mergeCell ref="C20:F20"/>
    <mergeCell ref="C21:F21"/>
    <mergeCell ref="B23:F23"/>
    <mergeCell ref="C24:F24"/>
    <mergeCell ref="C25:F25"/>
    <mergeCell ref="C26:F26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2026-03-05T15:28:54Z</dcterms:created>
  <dc:creator>openpyxl</dc:creator>
  <dc:description/>
  <dc:language>en-US</dc:language>
  <cp:lastModifiedBy/>
  <dcterms:modified xsi:type="dcterms:W3CDTF">2026-03-05T15:29:16Z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